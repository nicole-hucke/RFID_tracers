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RFID_tracers\particle_movement\"/>
    </mc:Choice>
  </mc:AlternateContent>
  <xr:revisionPtr revIDLastSave="0" documentId="13_ncr:1_{1E8E3214-89A5-4612-AC7A-0B8E7C19A361}" xr6:coauthVersionLast="47" xr6:coauthVersionMax="47" xr10:uidLastSave="{00000000-0000-0000-0000-000000000000}"/>
  <bookViews>
    <workbookView xWindow="-120" yWindow="-120" windowWidth="29040" windowHeight="15720" xr2:uid="{0D8970F4-B865-4B12-A4F4-47BE56DE416A}"/>
  </bookViews>
  <sheets>
    <sheet name="moved_particles" sheetId="1" r:id="rId1"/>
    <sheet name="correlations" sheetId="4" r:id="rId2"/>
    <sheet name="raw_results" sheetId="2" r:id="rId3"/>
    <sheet name="raw_results (2)" sheetId="3" r:id="rId4"/>
  </sheets>
  <definedNames>
    <definedName name="_xlnm._FilterDatabase" localSheetId="2" hidden="1">raw_results!$A$1:$CE$206</definedName>
    <definedName name="_xlnm._FilterDatabase" localSheetId="3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71" i="1"/>
  <c r="D71" i="1"/>
  <c r="D73" i="1"/>
  <c r="F73" i="1"/>
  <c r="B10" i="4" l="1"/>
  <c r="B5" i="4"/>
  <c r="B6" i="4"/>
  <c r="B7" i="4"/>
  <c r="B8" i="4"/>
  <c r="B9" i="4"/>
  <c r="B4" i="4"/>
  <c r="J74" i="1"/>
  <c r="I74" i="1"/>
  <c r="H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G20" i="1"/>
  <c r="H20" i="1"/>
  <c r="I20" i="1"/>
  <c r="J20" i="1"/>
  <c r="C11" i="1"/>
  <c r="D11" i="1"/>
  <c r="E11" i="1"/>
  <c r="F11" i="1"/>
  <c r="G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G37" i="1"/>
  <c r="H37" i="1"/>
  <c r="I37" i="1"/>
  <c r="J37" i="1"/>
  <c r="J28" i="1"/>
  <c r="I28" i="1"/>
  <c r="H28" i="1"/>
  <c r="G28" i="1"/>
  <c r="F28" i="1"/>
  <c r="E28" i="1"/>
  <c r="D28" i="1"/>
  <c r="D19" i="1"/>
  <c r="E19" i="1"/>
  <c r="F19" i="1"/>
  <c r="G19" i="1"/>
  <c r="H19" i="1"/>
  <c r="I19" i="1"/>
  <c r="J19" i="1"/>
  <c r="D10" i="1"/>
  <c r="E10" i="1"/>
  <c r="F10" i="1"/>
  <c r="G10" i="1"/>
  <c r="H10" i="1"/>
  <c r="I10" i="1"/>
  <c r="J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T56" i="1" l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P45" i="1" l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F32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F117" i="3"/>
  <c r="I117" i="3"/>
  <c r="J117" i="3"/>
  <c r="Q117" i="3"/>
  <c r="S117" i="3"/>
  <c r="T117" i="3"/>
  <c r="AA117" i="3"/>
  <c r="AC117" i="3"/>
  <c r="AD117" i="3"/>
  <c r="AK117" i="3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I8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<sst xmlns="http://schemas.openxmlformats.org/spreadsheetml/2006/main" count="7118" uniqueCount="104">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</sst>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66CC"/>
      <color rgb="FFFF9933"/>
      <color rgb="FF99FF66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tabSelected="1" zoomScale="115" zoomScaleNormal="115" workbookViewId="0">
      <selection activeCell="J18" sqref="J18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216" t="s">
        <v>56</v>
      </c>
      <c r="N1" s="216"/>
      <c r="O1" s="216"/>
      <c r="P1" s="216"/>
      <c r="Q1" s="216"/>
      <c r="R1" s="216"/>
      <c r="S1" s="216"/>
      <c r="T1" s="216"/>
      <c r="U1" s="216"/>
      <c r="W1" s="216" t="s">
        <v>45</v>
      </c>
      <c r="X1" s="216"/>
      <c r="Y1" s="216"/>
      <c r="Z1" s="216"/>
      <c r="AA1" s="216"/>
      <c r="AB1" s="216"/>
      <c r="AC1" s="216"/>
      <c r="AD1" s="216"/>
      <c r="AE1" s="216"/>
      <c r="AG1" s="217" t="s">
        <v>46</v>
      </c>
      <c r="AH1" s="218"/>
      <c r="AI1" s="218"/>
      <c r="AJ1" s="218"/>
      <c r="AK1" s="218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 t="shared" si="5"/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0.24142918010526318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216" t="s">
        <v>57</v>
      </c>
      <c r="N13" s="216"/>
      <c r="O13" s="216"/>
      <c r="P13" s="216"/>
      <c r="Q13" s="216"/>
      <c r="R13" s="216"/>
      <c r="S13" s="216"/>
      <c r="T13" s="216"/>
      <c r="U13" s="216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216" t="s">
        <v>65</v>
      </c>
      <c r="X17" s="216"/>
      <c r="Y17" s="216"/>
      <c r="Z17" s="216"/>
      <c r="AA17" s="216"/>
      <c r="AB17" s="216"/>
      <c r="AC17" s="216"/>
      <c r="AD17" s="216"/>
      <c r="AE17" s="216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0.15773432466666665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216" t="s">
        <v>66</v>
      </c>
      <c r="N27" s="216"/>
      <c r="O27" s="216"/>
      <c r="P27" s="216"/>
      <c r="Q27" s="216"/>
      <c r="R27" s="216"/>
      <c r="S27" s="216"/>
      <c r="T27" s="216"/>
      <c r="U27" s="216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216" t="s">
        <v>68</v>
      </c>
      <c r="X29" s="216"/>
      <c r="Y29" s="216"/>
      <c r="Z29" s="216"/>
      <c r="AA29" s="216"/>
      <c r="AB29" s="216"/>
      <c r="AC29" s="216"/>
      <c r="AD29" s="216"/>
      <c r="AE29" s="216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0.18388245435294115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216" t="s">
        <v>67</v>
      </c>
      <c r="N39" s="216"/>
      <c r="O39" s="216"/>
      <c r="P39" s="216"/>
      <c r="Q39" s="216"/>
      <c r="R39" s="216"/>
      <c r="S39" s="216"/>
      <c r="T39" s="216"/>
      <c r="U39" s="216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216" t="s">
        <v>69</v>
      </c>
      <c r="N53" s="216"/>
      <c r="O53" s="216"/>
      <c r="P53" s="216"/>
      <c r="Q53" s="216"/>
      <c r="R53" s="216"/>
      <c r="S53" s="216"/>
      <c r="T53" s="216"/>
      <c r="U53" s="216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216" t="s">
        <v>70</v>
      </c>
      <c r="N65" s="216"/>
      <c r="O65" s="216"/>
      <c r="P65" s="216"/>
      <c r="Q65" s="216"/>
      <c r="R65" s="216"/>
      <c r="S65" s="216"/>
      <c r="T65" s="216"/>
      <c r="U65" s="216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topLeftCell="C11" zoomScale="115" zoomScaleNormal="115" workbookViewId="0">
      <selection activeCell="F10" sqref="F10"/>
    </sheetView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221" t="s">
        <v>86</v>
      </c>
      <c r="I1" s="221"/>
      <c r="J1" s="221"/>
      <c r="K1" s="221"/>
      <c r="L1" s="221"/>
      <c r="M1" s="221"/>
      <c r="N1" s="221"/>
      <c r="O1" s="219" t="s">
        <v>85</v>
      </c>
      <c r="P1" s="220"/>
      <c r="Q1" s="220"/>
      <c r="R1" s="220"/>
      <c r="S1" s="220"/>
      <c r="T1" s="220"/>
      <c r="U1" s="220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221" t="s">
        <v>86</v>
      </c>
      <c r="I11" s="221"/>
      <c r="J11" s="221"/>
      <c r="K11" s="221"/>
      <c r="L11" s="221"/>
      <c r="M11" s="221"/>
      <c r="N11" s="221"/>
      <c r="O11" s="219" t="s">
        <v>84</v>
      </c>
      <c r="P11" s="220"/>
      <c r="Q11" s="220"/>
      <c r="R11" s="220"/>
      <c r="S11" s="220"/>
      <c r="T11" s="220"/>
      <c r="U11" s="220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>
      <selection activeCell="I15" sqref="I15"/>
    </sheetView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>
      <selection activeCell="J118" sqref="J118"/>
    </sheetView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6" width="14.7109375" style="1" customWidth="1"/>
    <col min="7" max="7" width="9.140625" style="1"/>
    <col min="8" max="8" width="15.5703125" style="1" customWidth="1"/>
    <col min="9" max="9" width="12.28515625" style="1" customWidth="1"/>
    <col min="10" max="10" width="13.28515625" style="1" customWidth="1"/>
    <col min="11" max="11" width="18.85546875" style="1" customWidth="1"/>
    <col min="12" max="12" width="14.85546875" style="1" customWidth="1"/>
    <col min="13" max="13" width="13.5703125" style="38" customWidth="1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2.42578125" style="1" customWidth="1"/>
    <col min="46" max="46" width="15.140625" style="1" customWidth="1"/>
    <col min="47" max="54" width="9.140625" style="1"/>
    <col min="55" max="55" width="14.140625" style="1" customWidth="1"/>
    <col min="56" max="56" width="16.140625" style="1" customWidth="1"/>
    <col min="57" max="64" width="9.140625" style="1"/>
    <col min="65" max="65" width="21" style="1" customWidth="1"/>
    <col min="66" max="66" width="16.42578125" style="1" customWidth="1"/>
    <col min="67" max="67" width="18.28515625" style="1" customWidth="1"/>
    <col min="68" max="68" width="15.7109375" style="1" customWidth="1"/>
    <col min="69" max="69" width="9.140625" style="1"/>
    <col min="70" max="71" width="11.42578125" style="1" customWidth="1"/>
    <col min="72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7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7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6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39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6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40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/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/>
      <c r="AE4" s="6"/>
      <c r="AF4" s="6"/>
      <c r="AG4" s="6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/>
      <c r="AO4" s="6"/>
      <c r="AP4" s="6"/>
      <c r="AQ4" s="40"/>
      <c r="AR4" s="6">
        <v>6</v>
      </c>
      <c r="AS4" s="6" t="s">
        <v>32</v>
      </c>
      <c r="AT4" s="6" t="s">
        <v>33</v>
      </c>
      <c r="AU4" s="6"/>
      <c r="AV4" s="6" t="b">
        <v>1</v>
      </c>
      <c r="AW4" s="6"/>
      <c r="AX4" s="6"/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40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6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40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8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8">
        <v>8</v>
      </c>
      <c r="AS6" s="8" t="s">
        <v>32</v>
      </c>
      <c r="AT6" s="8" t="s">
        <v>33</v>
      </c>
      <c r="AU6" s="8"/>
      <c r="AV6" s="8" t="b">
        <v>1</v>
      </c>
      <c r="AW6" s="8"/>
      <c r="AX6" s="8"/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/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/>
      <c r="BS6" s="8"/>
      <c r="BT6" s="8"/>
      <c r="BU6" s="41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6">
        <v>167</v>
      </c>
      <c r="B7" s="6"/>
      <c r="C7" s="6"/>
      <c r="D7" s="63"/>
      <c r="E7" s="6"/>
      <c r="F7" s="6"/>
      <c r="G7" s="6"/>
      <c r="H7" s="6"/>
      <c r="I7" s="6"/>
      <c r="J7" s="6"/>
      <c r="K7" s="6"/>
      <c r="L7" s="6"/>
      <c r="M7" s="6"/>
      <c r="N7" s="6">
        <v>167</v>
      </c>
      <c r="O7" s="6"/>
      <c r="P7" s="6"/>
      <c r="Q7" s="6"/>
      <c r="R7" s="6"/>
      <c r="S7" s="6"/>
      <c r="T7" s="6"/>
      <c r="U7" s="6"/>
      <c r="V7" s="6"/>
      <c r="W7" s="6"/>
      <c r="X7" s="6">
        <v>167</v>
      </c>
      <c r="Y7" s="6"/>
      <c r="Z7" s="6"/>
      <c r="AA7" s="6"/>
      <c r="AB7" s="6"/>
      <c r="AC7" s="6"/>
      <c r="AD7" s="6"/>
      <c r="AE7" s="6"/>
      <c r="AF7" s="6"/>
      <c r="AG7" s="6"/>
      <c r="AH7" s="6">
        <v>167</v>
      </c>
      <c r="AI7" s="6"/>
      <c r="AJ7" s="6"/>
      <c r="AK7" s="6"/>
      <c r="AL7" s="6"/>
      <c r="AM7" s="6"/>
      <c r="AN7" s="6"/>
      <c r="AO7" s="6"/>
      <c r="AP7" s="6"/>
      <c r="AQ7" s="40"/>
      <c r="AR7" s="6">
        <v>167</v>
      </c>
      <c r="AS7" s="6"/>
      <c r="AT7" s="6"/>
      <c r="AU7" s="6"/>
      <c r="AV7" s="6"/>
      <c r="AW7" s="6"/>
      <c r="AX7" s="6"/>
      <c r="AY7" s="6"/>
      <c r="AZ7" s="6"/>
      <c r="BA7" s="40"/>
      <c r="BB7" s="63">
        <v>167</v>
      </c>
      <c r="BC7" s="6"/>
      <c r="BD7" s="6"/>
      <c r="BE7" s="6"/>
      <c r="BF7" s="6"/>
      <c r="BG7" s="6"/>
      <c r="BH7" s="6"/>
      <c r="BI7" s="6"/>
      <c r="BJ7" s="6"/>
      <c r="BK7" s="40"/>
      <c r="BL7" s="6">
        <v>167</v>
      </c>
      <c r="BM7" s="6" t="s">
        <v>34</v>
      </c>
      <c r="BN7" s="6" t="s">
        <v>35</v>
      </c>
      <c r="BO7" s="6">
        <v>0.100586663186787</v>
      </c>
      <c r="BP7" s="6"/>
      <c r="BQ7" s="6">
        <v>0.28593757572152501</v>
      </c>
      <c r="BR7" s="6">
        <v>0</v>
      </c>
      <c r="BS7" s="6"/>
      <c r="BT7" s="6"/>
      <c r="BU7" s="40"/>
      <c r="BV7" s="6">
        <v>167</v>
      </c>
      <c r="BW7" s="6" t="s">
        <v>35</v>
      </c>
      <c r="BX7" s="6" t="s">
        <v>36</v>
      </c>
      <c r="BY7" s="6">
        <v>2.9332944183995102</v>
      </c>
      <c r="CA7" s="6">
        <v>4.6533156946528003</v>
      </c>
      <c r="CB7" s="6">
        <v>1.21327314214622</v>
      </c>
      <c r="CD7" s="6"/>
      <c r="CE7" s="6"/>
    </row>
    <row r="8" spans="1:83" x14ac:dyDescent="0.25">
      <c r="A8" s="6">
        <v>168</v>
      </c>
      <c r="B8" s="6"/>
      <c r="C8" s="6"/>
      <c r="D8" s="63"/>
      <c r="E8" s="6"/>
      <c r="F8" s="6"/>
      <c r="G8" s="6"/>
      <c r="H8" s="6"/>
      <c r="I8" s="6"/>
      <c r="J8" s="6"/>
      <c r="K8" s="6"/>
      <c r="L8" s="6"/>
      <c r="M8" s="6"/>
      <c r="N8" s="6">
        <v>168</v>
      </c>
      <c r="O8" s="6"/>
      <c r="P8" s="6"/>
      <c r="Q8" s="6"/>
      <c r="R8" s="6"/>
      <c r="S8" s="6"/>
      <c r="T8" s="6"/>
      <c r="U8" s="6"/>
      <c r="V8" s="6"/>
      <c r="W8" s="6"/>
      <c r="X8" s="6">
        <v>168</v>
      </c>
      <c r="Y8" s="6"/>
      <c r="Z8" s="6"/>
      <c r="AA8" s="6"/>
      <c r="AB8" s="6"/>
      <c r="AC8" s="6"/>
      <c r="AD8" s="6"/>
      <c r="AE8" s="6"/>
      <c r="AF8" s="6"/>
      <c r="AG8" s="6"/>
      <c r="AH8" s="6">
        <v>168</v>
      </c>
      <c r="AI8" s="6"/>
      <c r="AJ8" s="6"/>
      <c r="AK8" s="6"/>
      <c r="AL8" s="6"/>
      <c r="AM8" s="6"/>
      <c r="AN8" s="6"/>
      <c r="AO8" s="6"/>
      <c r="AP8" s="6"/>
      <c r="AQ8" s="40"/>
      <c r="AR8" s="6">
        <v>168</v>
      </c>
      <c r="AS8" s="6"/>
      <c r="AT8" s="6"/>
      <c r="AU8" s="6"/>
      <c r="AV8" s="6"/>
      <c r="AW8" s="6"/>
      <c r="AX8" s="6"/>
      <c r="AY8" s="6"/>
      <c r="AZ8" s="6"/>
      <c r="BA8" s="40"/>
      <c r="BB8" s="63">
        <v>168</v>
      </c>
      <c r="BC8" s="6"/>
      <c r="BD8" s="6"/>
      <c r="BE8" s="6"/>
      <c r="BF8" s="6"/>
      <c r="BG8" s="6"/>
      <c r="BH8" s="6"/>
      <c r="BI8" s="6"/>
      <c r="BJ8" s="6"/>
      <c r="BK8" s="40"/>
      <c r="BL8" s="6">
        <v>168</v>
      </c>
      <c r="BM8" s="6" t="s">
        <v>34</v>
      </c>
      <c r="BN8" s="6" t="s">
        <v>35</v>
      </c>
      <c r="BO8" s="6">
        <v>0.123429225386132</v>
      </c>
      <c r="BP8" s="6"/>
      <c r="BQ8" s="6">
        <v>0.30397171765892</v>
      </c>
      <c r="BR8" s="6">
        <v>0</v>
      </c>
      <c r="BS8" s="6"/>
      <c r="BT8" s="6"/>
      <c r="BU8" s="40"/>
      <c r="BV8" s="6">
        <v>168</v>
      </c>
      <c r="BW8" s="6" t="s">
        <v>35</v>
      </c>
      <c r="BX8" s="6" t="s">
        <v>36</v>
      </c>
      <c r="BY8" s="6">
        <v>0.140479196886278</v>
      </c>
      <c r="CA8" s="6">
        <v>0.293461993870269</v>
      </c>
      <c r="CB8" s="6">
        <v>0</v>
      </c>
      <c r="CD8" s="6"/>
      <c r="CE8" s="6"/>
    </row>
    <row r="9" spans="1:83" x14ac:dyDescent="0.25">
      <c r="A9" s="6">
        <v>169</v>
      </c>
      <c r="B9" s="6"/>
      <c r="C9" s="6"/>
      <c r="D9" s="63"/>
      <c r="E9" s="6"/>
      <c r="F9" s="6"/>
      <c r="G9" s="6"/>
      <c r="H9" s="6"/>
      <c r="I9" s="6"/>
      <c r="J9" s="6"/>
      <c r="K9" s="6"/>
      <c r="L9" s="6"/>
      <c r="M9" s="6"/>
      <c r="N9" s="6">
        <v>169</v>
      </c>
      <c r="O9" s="6"/>
      <c r="P9" s="6"/>
      <c r="Q9" s="6"/>
      <c r="R9" s="6"/>
      <c r="S9" s="6"/>
      <c r="T9" s="6"/>
      <c r="U9" s="6"/>
      <c r="V9" s="6"/>
      <c r="W9" s="6"/>
      <c r="X9" s="6">
        <v>169</v>
      </c>
      <c r="Y9" s="6"/>
      <c r="Z9" s="6"/>
      <c r="AA9" s="6"/>
      <c r="AB9" s="6"/>
      <c r="AC9" s="6"/>
      <c r="AD9" s="6"/>
      <c r="AE9" s="6"/>
      <c r="AF9" s="6"/>
      <c r="AG9" s="6"/>
      <c r="AH9" s="6">
        <v>169</v>
      </c>
      <c r="AI9" s="6"/>
      <c r="AJ9" s="6"/>
      <c r="AK9" s="6"/>
      <c r="AL9" s="6"/>
      <c r="AM9" s="6"/>
      <c r="AN9" s="6"/>
      <c r="AO9" s="6"/>
      <c r="AP9" s="6"/>
      <c r="AQ9" s="40"/>
      <c r="AR9" s="6">
        <v>169</v>
      </c>
      <c r="AS9" s="6"/>
      <c r="AT9" s="6"/>
      <c r="AU9" s="6"/>
      <c r="AV9" s="6"/>
      <c r="AW9" s="6"/>
      <c r="AX9" s="6"/>
      <c r="AY9" s="6"/>
      <c r="AZ9" s="6"/>
      <c r="BA9" s="40"/>
      <c r="BB9" s="63">
        <v>169</v>
      </c>
      <c r="BC9" s="6"/>
      <c r="BD9" s="6"/>
      <c r="BE9" s="6"/>
      <c r="BF9" s="6"/>
      <c r="BG9" s="6"/>
      <c r="BH9" s="6"/>
      <c r="BI9" s="6"/>
      <c r="BJ9" s="6"/>
      <c r="BK9" s="40"/>
      <c r="BL9" s="6">
        <v>169</v>
      </c>
      <c r="BM9" s="6" t="s">
        <v>34</v>
      </c>
      <c r="BN9" s="6" t="s">
        <v>35</v>
      </c>
      <c r="BO9" s="6">
        <v>6.5714427060287794E-2</v>
      </c>
      <c r="BP9" s="6"/>
      <c r="BQ9" s="6">
        <v>0.48701325716551502</v>
      </c>
      <c r="BR9" s="6">
        <v>0</v>
      </c>
      <c r="BS9" s="6"/>
      <c r="BT9" s="6"/>
      <c r="BU9" s="40"/>
      <c r="BV9" s="6">
        <v>169</v>
      </c>
      <c r="BW9" s="6" t="s">
        <v>35</v>
      </c>
      <c r="BX9" s="6" t="s">
        <v>36</v>
      </c>
      <c r="BY9" s="6">
        <v>8.9145838887698295E-2</v>
      </c>
      <c r="CA9" s="6">
        <v>0.441737445113773</v>
      </c>
      <c r="CB9" s="6">
        <v>0</v>
      </c>
      <c r="CD9" s="6"/>
      <c r="CE9" s="6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98">
        <f>AVERAGE(I2:I9)</f>
        <v>0.35790525900000003</v>
      </c>
      <c r="J10" s="98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98">
        <f>AVERAGE(S2:S9)</f>
        <v>0.85334672299999992</v>
      </c>
      <c r="T10" s="98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98">
        <f>AVERAGE(AC2:AC9)</f>
        <v>0.83041285899999995</v>
      </c>
      <c r="AD10" s="98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98">
        <f>AVERAGE(AM2:AM9)</f>
        <v>0.29339371775</v>
      </c>
      <c r="AN10" s="98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98">
        <f>AVERAGE(AW2:AW9)</f>
        <v>1.259929759</v>
      </c>
      <c r="AX10" s="98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98">
        <f>AVERAGE(BG2:BG9)</f>
        <v>1.3185326532500001</v>
      </c>
      <c r="BH10" s="98">
        <f>AVERAGE(BH2:BH9)</f>
        <v>0.58745223774999999</v>
      </c>
      <c r="BI10" s="98"/>
      <c r="BJ10" s="98"/>
      <c r="BK10" s="101"/>
      <c r="BL10" s="98"/>
      <c r="BM10" s="109"/>
      <c r="BN10" s="98"/>
      <c r="BO10" s="98">
        <f>AVERAGE(BO2:BO9)</f>
        <v>0.14074632123331526</v>
      </c>
      <c r="BP10" s="98"/>
      <c r="BQ10" s="98">
        <f>AVERAGE(BQ2:BQ9)</f>
        <v>0.44840946150656574</v>
      </c>
      <c r="BR10" s="98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98">
        <f>AVERAGE(CA2:CA9)</f>
        <v>1.5900012045796053</v>
      </c>
      <c r="CB10" s="98">
        <f>AVERAGE(CB2:CB9)</f>
        <v>0.1791206263932775</v>
      </c>
      <c r="CC10" s="98"/>
      <c r="CD10" s="98"/>
      <c r="CE10" s="98"/>
    </row>
    <row r="11" spans="1:83" x14ac:dyDescent="0.25">
      <c r="A11" s="11">
        <v>2</v>
      </c>
      <c r="B11" s="11">
        <v>90</v>
      </c>
      <c r="C11" s="11">
        <v>2</v>
      </c>
      <c r="D11" s="65" t="s">
        <v>28</v>
      </c>
      <c r="E11" s="11" t="s">
        <v>29</v>
      </c>
      <c r="F11" s="11">
        <v>0.11297546999999999</v>
      </c>
      <c r="G11" s="11"/>
      <c r="H11" s="11" t="b">
        <v>1</v>
      </c>
      <c r="I11" s="11">
        <v>0.40958816300000001</v>
      </c>
      <c r="J11" s="11">
        <v>0</v>
      </c>
      <c r="K11" s="11">
        <v>3.0149727000000001E-2</v>
      </c>
      <c r="L11" s="11">
        <v>0.93760934500000004</v>
      </c>
      <c r="M11" s="42">
        <v>0.25124580299999999</v>
      </c>
      <c r="N11" s="65">
        <v>2</v>
      </c>
      <c r="O11" s="11" t="s">
        <v>29</v>
      </c>
      <c r="P11" s="11" t="s">
        <v>30</v>
      </c>
      <c r="Q11" s="11">
        <v>0.23867148999999999</v>
      </c>
      <c r="R11" s="11" t="b">
        <v>0</v>
      </c>
      <c r="S11" s="11">
        <v>0.46346735300000003</v>
      </c>
      <c r="T11" s="11">
        <v>1.3875627999999999E-2</v>
      </c>
      <c r="U11" s="11">
        <v>0</v>
      </c>
      <c r="V11" s="11">
        <v>0</v>
      </c>
      <c r="W11" s="42">
        <v>0</v>
      </c>
      <c r="X11" s="11">
        <v>2</v>
      </c>
      <c r="Y11" s="11" t="s">
        <v>30</v>
      </c>
      <c r="Z11" s="11" t="s">
        <v>31</v>
      </c>
      <c r="AA11" s="11">
        <v>4.4501276999999999E-2</v>
      </c>
      <c r="AB11" s="11" t="b">
        <v>0</v>
      </c>
      <c r="AC11" s="11">
        <v>7.8701354000000001E-2</v>
      </c>
      <c r="AD11" s="11">
        <v>1.03012E-2</v>
      </c>
      <c r="AE11" s="11">
        <v>0</v>
      </c>
      <c r="AF11" s="11">
        <v>0</v>
      </c>
      <c r="AG11" s="11">
        <v>0</v>
      </c>
      <c r="AH11" s="65">
        <v>2</v>
      </c>
      <c r="AI11" s="11" t="s">
        <v>31</v>
      </c>
      <c r="AJ11" s="11" t="s">
        <v>32</v>
      </c>
      <c r="AK11" s="11">
        <v>8.3061040000000003E-2</v>
      </c>
      <c r="AL11" s="11" t="b">
        <v>0</v>
      </c>
      <c r="AM11" s="11">
        <v>0.15550039800000001</v>
      </c>
      <c r="AN11" s="11">
        <v>1.0621682E-2</v>
      </c>
      <c r="AO11" s="11">
        <v>0</v>
      </c>
      <c r="AP11" s="11">
        <v>0</v>
      </c>
      <c r="AQ11" s="42">
        <v>0</v>
      </c>
      <c r="AR11" s="11">
        <v>2</v>
      </c>
      <c r="AS11" s="11" t="s">
        <v>32</v>
      </c>
      <c r="AT11" s="11" t="s">
        <v>33</v>
      </c>
      <c r="AU11" s="11"/>
      <c r="AV11" s="11" t="b">
        <v>1</v>
      </c>
      <c r="AW11" s="11"/>
      <c r="AX11" s="11"/>
      <c r="AY11" s="11"/>
      <c r="AZ11" s="11"/>
      <c r="BA11" s="42"/>
      <c r="BB11" s="65">
        <v>2</v>
      </c>
      <c r="BC11" s="11" t="s">
        <v>33</v>
      </c>
      <c r="BD11" s="11" t="s">
        <v>34</v>
      </c>
      <c r="BE11" s="11"/>
      <c r="BF11" s="11" t="b">
        <v>1</v>
      </c>
      <c r="BG11" s="11"/>
      <c r="BH11" s="11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 t="b">
        <v>1</v>
      </c>
      <c r="BQ11" s="11"/>
      <c r="BR11" s="11"/>
      <c r="BS11" s="11"/>
      <c r="BT11" s="11"/>
      <c r="BU11" s="42"/>
      <c r="BV11" s="11">
        <v>2</v>
      </c>
      <c r="BW11" s="11" t="s">
        <v>35</v>
      </c>
      <c r="BX11" s="11" t="s">
        <v>36</v>
      </c>
      <c r="BY11" s="11">
        <v>0.101675162</v>
      </c>
      <c r="BZ11" s="11" t="b">
        <v>1</v>
      </c>
      <c r="CA11" s="11">
        <v>0.39228982699999998</v>
      </c>
      <c r="CB11" s="11">
        <v>0</v>
      </c>
      <c r="CC11" s="11">
        <v>3.6574202E-2</v>
      </c>
      <c r="CD11" s="11">
        <v>0.70335208900000001</v>
      </c>
      <c r="CE11" s="11">
        <v>0.44382354600000001</v>
      </c>
    </row>
    <row r="12" spans="1:83" x14ac:dyDescent="0.25">
      <c r="A12" s="10">
        <v>4</v>
      </c>
      <c r="B12" s="10">
        <v>90</v>
      </c>
      <c r="C12" s="10">
        <v>4</v>
      </c>
      <c r="D12" s="66" t="s">
        <v>28</v>
      </c>
      <c r="E12" s="10" t="s">
        <v>29</v>
      </c>
      <c r="F12" s="10">
        <v>5.9541597000000002E-2</v>
      </c>
      <c r="G12" s="10"/>
      <c r="H12" s="10" t="b">
        <v>0</v>
      </c>
      <c r="I12" s="10">
        <v>0.30391651600000003</v>
      </c>
      <c r="J12" s="10">
        <v>0</v>
      </c>
      <c r="K12" s="10">
        <v>0</v>
      </c>
      <c r="L12" s="10">
        <v>0</v>
      </c>
      <c r="M12" s="43">
        <v>0</v>
      </c>
      <c r="N12" s="66">
        <v>4</v>
      </c>
      <c r="O12" s="10" t="s">
        <v>29</v>
      </c>
      <c r="P12" s="10" t="s">
        <v>30</v>
      </c>
      <c r="Q12" s="10"/>
      <c r="R12" s="10" t="b">
        <v>1</v>
      </c>
      <c r="S12" s="10"/>
      <c r="T12" s="10"/>
      <c r="U12" s="10"/>
      <c r="V12" s="10"/>
      <c r="W12" s="43"/>
      <c r="X12" s="10">
        <v>4</v>
      </c>
      <c r="Y12" s="10" t="s">
        <v>30</v>
      </c>
      <c r="Z12" s="10" t="s">
        <v>31</v>
      </c>
      <c r="AA12" s="10"/>
      <c r="AB12" s="10" t="b">
        <v>1</v>
      </c>
      <c r="AC12" s="10"/>
      <c r="AD12" s="10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10"/>
      <c r="AL12" s="10" t="b">
        <v>1</v>
      </c>
      <c r="AM12" s="10"/>
      <c r="AN12" s="10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 t="b">
        <v>1</v>
      </c>
      <c r="AW12" s="10"/>
      <c r="AX12" s="10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 t="b">
        <v>1</v>
      </c>
      <c r="BG12" s="10"/>
      <c r="BH12" s="10"/>
      <c r="BI12" s="10"/>
      <c r="BJ12" s="10"/>
      <c r="BK12" s="43"/>
      <c r="BL12" s="10">
        <v>4</v>
      </c>
      <c r="BM12" s="10" t="s">
        <v>34</v>
      </c>
      <c r="BN12" s="10" t="s">
        <v>35</v>
      </c>
      <c r="BO12" s="10">
        <v>5.5702529999999998E-3</v>
      </c>
      <c r="BP12" s="10" t="b">
        <v>0</v>
      </c>
      <c r="BQ12" s="10">
        <v>0.14190418599999999</v>
      </c>
      <c r="BR12" s="10">
        <v>0</v>
      </c>
      <c r="BS12" s="10">
        <v>0</v>
      </c>
      <c r="BT12" s="10">
        <v>0</v>
      </c>
      <c r="BU12" s="43">
        <v>0</v>
      </c>
      <c r="BV12" s="10">
        <v>4</v>
      </c>
      <c r="BW12" s="10" t="s">
        <v>35</v>
      </c>
      <c r="BX12" s="10" t="s">
        <v>36</v>
      </c>
      <c r="BY12" s="10"/>
      <c r="BZ12" s="10" t="b">
        <v>1</v>
      </c>
      <c r="CA12" s="10"/>
      <c r="CB12" s="10"/>
      <c r="CC12" s="10"/>
      <c r="CD12" s="10"/>
      <c r="CE12" s="10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 t="b">
        <v>1</v>
      </c>
      <c r="I13" s="10"/>
      <c r="J13" s="10"/>
      <c r="K13" s="10"/>
      <c r="L13" s="10"/>
      <c r="M13" s="43"/>
      <c r="N13" s="66">
        <v>5</v>
      </c>
      <c r="O13" s="10" t="s">
        <v>29</v>
      </c>
      <c r="P13" s="10" t="s">
        <v>30</v>
      </c>
      <c r="Q13" s="10"/>
      <c r="R13" s="10" t="b">
        <v>1</v>
      </c>
      <c r="S13" s="10"/>
      <c r="T13" s="10"/>
      <c r="U13" s="10"/>
      <c r="V13" s="10"/>
      <c r="W13" s="43"/>
      <c r="X13" s="10">
        <v>5</v>
      </c>
      <c r="Y13" s="10" t="s">
        <v>30</v>
      </c>
      <c r="Z13" s="10" t="s">
        <v>31</v>
      </c>
      <c r="AA13" s="10"/>
      <c r="AB13" s="10" t="b">
        <v>1</v>
      </c>
      <c r="AC13" s="10"/>
      <c r="AD13" s="10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10"/>
      <c r="AL13" s="10" t="b">
        <v>1</v>
      </c>
      <c r="AM13" s="10"/>
      <c r="AN13" s="10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 t="b">
        <v>1</v>
      </c>
      <c r="AW13" s="10"/>
      <c r="AX13" s="10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 t="b">
        <v>1</v>
      </c>
      <c r="BG13" s="10"/>
      <c r="BH13" s="10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10"/>
      <c r="BP13" s="10" t="b">
        <v>1</v>
      </c>
      <c r="BQ13" s="10"/>
      <c r="BR13" s="1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10"/>
      <c r="BZ13" s="10" t="b">
        <v>1</v>
      </c>
      <c r="CA13" s="10"/>
      <c r="CB13" s="10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 t="b">
        <v>1</v>
      </c>
      <c r="I14" s="10"/>
      <c r="J14" s="10"/>
      <c r="K14" s="10"/>
      <c r="L14" s="10"/>
      <c r="M14" s="43"/>
      <c r="N14" s="66">
        <v>9</v>
      </c>
      <c r="O14" s="10" t="s">
        <v>29</v>
      </c>
      <c r="P14" s="10" t="s">
        <v>30</v>
      </c>
      <c r="Q14" s="10"/>
      <c r="R14" s="10" t="b">
        <v>1</v>
      </c>
      <c r="S14" s="10"/>
      <c r="T14" s="10"/>
      <c r="U14" s="10"/>
      <c r="V14" s="10"/>
      <c r="W14" s="43"/>
      <c r="X14" s="10">
        <v>9</v>
      </c>
      <c r="Y14" s="10" t="s">
        <v>30</v>
      </c>
      <c r="Z14" s="10" t="s">
        <v>31</v>
      </c>
      <c r="AA14" s="10"/>
      <c r="AB14" s="10" t="b">
        <v>1</v>
      </c>
      <c r="AC14" s="10"/>
      <c r="AD14" s="10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10"/>
      <c r="AL14" s="10" t="b">
        <v>1</v>
      </c>
      <c r="AM14" s="10"/>
      <c r="AN14" s="10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 t="b">
        <v>1</v>
      </c>
      <c r="AW14" s="10"/>
      <c r="AX14" s="10"/>
      <c r="AY14" s="10"/>
      <c r="AZ14" s="10"/>
      <c r="BA14" s="43"/>
      <c r="BB14" s="66">
        <v>9</v>
      </c>
      <c r="BC14" s="10" t="s">
        <v>33</v>
      </c>
      <c r="BD14" s="10" t="s">
        <v>34</v>
      </c>
      <c r="BE14" s="10">
        <v>1.9321676999999999E-2</v>
      </c>
      <c r="BF14" s="10" t="b">
        <v>0</v>
      </c>
      <c r="BG14" s="10">
        <v>8.1770896999999995E-2</v>
      </c>
      <c r="BH14" s="10">
        <v>0</v>
      </c>
      <c r="BI14" s="10">
        <v>0</v>
      </c>
      <c r="BJ14" s="10">
        <v>0</v>
      </c>
      <c r="BK14" s="43">
        <v>0</v>
      </c>
      <c r="BL14" s="10">
        <v>9</v>
      </c>
      <c r="BM14" s="10" t="s">
        <v>34</v>
      </c>
      <c r="BN14" s="10" t="s">
        <v>35</v>
      </c>
      <c r="BO14" s="10">
        <v>1.4022054000000001E-2</v>
      </c>
      <c r="BP14" s="10" t="b">
        <v>0</v>
      </c>
      <c r="BQ14" s="10">
        <v>6.7287708000000002E-2</v>
      </c>
      <c r="BR14" s="10">
        <v>0</v>
      </c>
      <c r="BS14" s="10">
        <v>0</v>
      </c>
      <c r="BT14" s="10">
        <v>0</v>
      </c>
      <c r="BU14" s="43">
        <v>0</v>
      </c>
      <c r="BV14" s="10">
        <v>9</v>
      </c>
      <c r="BW14" s="10" t="s">
        <v>35</v>
      </c>
      <c r="BX14" s="10" t="s">
        <v>36</v>
      </c>
      <c r="BY14" s="10">
        <v>2.7359317070000002</v>
      </c>
      <c r="BZ14" s="10" t="b">
        <v>0</v>
      </c>
      <c r="CA14" s="10">
        <v>4.8153758260000004</v>
      </c>
      <c r="CB14" s="10">
        <v>0.65648758799999996</v>
      </c>
      <c r="CC14" s="10">
        <v>0</v>
      </c>
      <c r="CD14" s="10">
        <v>0</v>
      </c>
      <c r="CE14" s="10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/>
      <c r="K15" s="10"/>
      <c r="L15" s="10"/>
      <c r="M15" s="43"/>
      <c r="N15" s="66">
        <v>11</v>
      </c>
      <c r="O15" s="10" t="s">
        <v>29</v>
      </c>
      <c r="P15" s="10" t="s">
        <v>30</v>
      </c>
      <c r="Q15" s="10"/>
      <c r="R15" s="10" t="b">
        <v>1</v>
      </c>
      <c r="S15" s="10"/>
      <c r="T15" s="10"/>
      <c r="U15" s="10"/>
      <c r="V15" s="10"/>
      <c r="W15" s="43"/>
      <c r="X15" s="10">
        <v>11</v>
      </c>
      <c r="Y15" s="10" t="s">
        <v>30</v>
      </c>
      <c r="Z15" s="10" t="s">
        <v>31</v>
      </c>
      <c r="AA15" s="10"/>
      <c r="AB15" s="10" t="b">
        <v>1</v>
      </c>
      <c r="AC15" s="10"/>
      <c r="AD15" s="10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10"/>
      <c r="AL15" s="10" t="b">
        <v>1</v>
      </c>
      <c r="AM15" s="10"/>
      <c r="AN15" s="10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 t="b">
        <v>1</v>
      </c>
      <c r="AW15" s="10"/>
      <c r="AX15" s="10"/>
      <c r="AY15" s="10"/>
      <c r="AZ15" s="10"/>
      <c r="BA15" s="43"/>
      <c r="BB15" s="66">
        <v>11</v>
      </c>
      <c r="BC15" s="10" t="s">
        <v>33</v>
      </c>
      <c r="BD15" s="10" t="s">
        <v>34</v>
      </c>
      <c r="BE15" s="10">
        <v>0.35671244699999999</v>
      </c>
      <c r="BF15" s="10" t="b">
        <v>0</v>
      </c>
      <c r="BG15" s="10">
        <v>1.042346116</v>
      </c>
      <c r="BH15" s="10">
        <v>0</v>
      </c>
      <c r="BI15" s="10">
        <v>0</v>
      </c>
      <c r="BJ15" s="10">
        <v>0</v>
      </c>
      <c r="BK15" s="43">
        <v>0</v>
      </c>
      <c r="BL15" s="10">
        <v>11</v>
      </c>
      <c r="BM15" s="10" t="s">
        <v>34</v>
      </c>
      <c r="BN15" s="10" t="s">
        <v>35</v>
      </c>
      <c r="BO15" s="10">
        <v>2.9646743E-2</v>
      </c>
      <c r="BP15" s="10" t="b">
        <v>0</v>
      </c>
      <c r="BQ15" s="10">
        <v>1.1710245159999999</v>
      </c>
      <c r="BR15" s="10">
        <v>0</v>
      </c>
      <c r="BS15" s="10">
        <v>0</v>
      </c>
      <c r="BT15" s="10">
        <v>0</v>
      </c>
      <c r="BU15" s="43">
        <v>0</v>
      </c>
      <c r="BV15" s="10">
        <v>11</v>
      </c>
      <c r="BW15" s="10" t="s">
        <v>35</v>
      </c>
      <c r="BX15" s="10" t="s">
        <v>36</v>
      </c>
      <c r="BY15" s="10">
        <v>6.8734054000000003E-2</v>
      </c>
      <c r="BZ15" s="10" t="b">
        <v>0</v>
      </c>
      <c r="CA15" s="10">
        <v>1.041413428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 t="b">
        <v>1</v>
      </c>
      <c r="I16" s="10"/>
      <c r="J16" s="10"/>
      <c r="K16" s="10"/>
      <c r="L16" s="10"/>
      <c r="M16" s="43"/>
      <c r="N16" s="66">
        <v>12</v>
      </c>
      <c r="O16" s="10" t="s">
        <v>29</v>
      </c>
      <c r="P16" s="10" t="s">
        <v>30</v>
      </c>
      <c r="Q16" s="10"/>
      <c r="R16" s="10" t="b">
        <v>1</v>
      </c>
      <c r="S16" s="10"/>
      <c r="T16" s="10"/>
      <c r="U16" s="10"/>
      <c r="V16" s="10"/>
      <c r="W16" s="43"/>
      <c r="X16" s="10">
        <v>12</v>
      </c>
      <c r="Y16" s="10" t="s">
        <v>30</v>
      </c>
      <c r="Z16" s="10" t="s">
        <v>31</v>
      </c>
      <c r="AA16" s="10"/>
      <c r="AB16" s="10" t="b">
        <v>1</v>
      </c>
      <c r="AC16" s="10"/>
      <c r="AD16" s="10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10"/>
      <c r="AL16" s="10" t="b">
        <v>1</v>
      </c>
      <c r="AM16" s="10"/>
      <c r="AN16" s="10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 t="b">
        <v>1</v>
      </c>
      <c r="AW16" s="10"/>
      <c r="AX16" s="10"/>
      <c r="AY16" s="10"/>
      <c r="AZ16" s="10"/>
      <c r="BA16" s="43"/>
      <c r="BB16" s="66">
        <v>12</v>
      </c>
      <c r="BC16" s="10" t="s">
        <v>33</v>
      </c>
      <c r="BD16" s="10" t="s">
        <v>34</v>
      </c>
      <c r="BE16" s="10">
        <v>1.465777079</v>
      </c>
      <c r="BF16" s="10" t="b">
        <v>0</v>
      </c>
      <c r="BG16" s="10">
        <v>1.5377963219999999</v>
      </c>
      <c r="BH16" s="10">
        <v>1.393757836</v>
      </c>
      <c r="BI16" s="10">
        <v>0</v>
      </c>
      <c r="BJ16" s="10">
        <v>0</v>
      </c>
      <c r="BK16" s="43">
        <v>0</v>
      </c>
      <c r="BL16" s="10">
        <v>12</v>
      </c>
      <c r="BM16" s="10" t="s">
        <v>34</v>
      </c>
      <c r="BN16" s="10" t="s">
        <v>35</v>
      </c>
      <c r="BO16" s="10">
        <v>3.8497149000000001E-2</v>
      </c>
      <c r="BP16" s="10" t="b">
        <v>0</v>
      </c>
      <c r="BQ16" s="10">
        <v>0.180188341</v>
      </c>
      <c r="BR16" s="10">
        <v>0</v>
      </c>
      <c r="BS16" s="10">
        <v>0</v>
      </c>
      <c r="BT16" s="10">
        <v>0</v>
      </c>
      <c r="BU16" s="43">
        <v>0</v>
      </c>
      <c r="BV16" s="10">
        <v>12</v>
      </c>
      <c r="BW16" s="10" t="s">
        <v>35</v>
      </c>
      <c r="BX16" s="10" t="s">
        <v>36</v>
      </c>
      <c r="BY16" s="10">
        <v>4.7571021999999998E-2</v>
      </c>
      <c r="BZ16" s="10" t="b">
        <v>1</v>
      </c>
      <c r="CA16" s="10">
        <v>0.22689570100000001</v>
      </c>
      <c r="CB16" s="10">
        <v>0</v>
      </c>
      <c r="CC16" s="10">
        <v>1.6525222999999999E-2</v>
      </c>
      <c r="CD16" s="10">
        <v>0.78847764799999998</v>
      </c>
      <c r="CE16" s="10">
        <v>0.55167174699999999</v>
      </c>
    </row>
    <row r="17" spans="1:83" x14ac:dyDescent="0.25">
      <c r="A17" s="10">
        <v>22</v>
      </c>
      <c r="B17" s="10">
        <v>90</v>
      </c>
      <c r="C17" s="10">
        <v>22</v>
      </c>
      <c r="D17" s="66" t="s">
        <v>28</v>
      </c>
      <c r="E17" s="10" t="s">
        <v>29</v>
      </c>
      <c r="F17" s="10">
        <v>2.9874518760000002</v>
      </c>
      <c r="G17" s="10"/>
      <c r="H17" s="10" t="b">
        <v>0</v>
      </c>
      <c r="I17" s="10">
        <v>3.4721921149999999</v>
      </c>
      <c r="J17" s="10">
        <v>2.502711637</v>
      </c>
      <c r="K17" s="10">
        <v>0</v>
      </c>
      <c r="L17" s="10">
        <v>0</v>
      </c>
      <c r="M17" s="43">
        <v>0</v>
      </c>
      <c r="N17" s="66">
        <v>22</v>
      </c>
      <c r="O17" s="10" t="s">
        <v>29</v>
      </c>
      <c r="P17" s="10" t="s">
        <v>30</v>
      </c>
      <c r="Q17" s="10"/>
      <c r="R17" s="10" t="b">
        <v>1</v>
      </c>
      <c r="S17" s="10"/>
      <c r="T17" s="10"/>
      <c r="U17" s="10"/>
      <c r="V17" s="10"/>
      <c r="W17" s="43"/>
      <c r="X17" s="10">
        <v>22</v>
      </c>
      <c r="Y17" s="10" t="s">
        <v>30</v>
      </c>
      <c r="Z17" s="10" t="s">
        <v>31</v>
      </c>
      <c r="AA17" s="10"/>
      <c r="AB17" s="10" t="b">
        <v>1</v>
      </c>
      <c r="AC17" s="10"/>
      <c r="AD17" s="10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10"/>
      <c r="AL17" s="10" t="b">
        <v>1</v>
      </c>
      <c r="AM17" s="10"/>
      <c r="AN17" s="10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 t="b">
        <v>1</v>
      </c>
      <c r="AW17" s="10"/>
      <c r="AX17" s="10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10"/>
      <c r="BF17" s="10" t="b">
        <v>1</v>
      </c>
      <c r="BG17" s="10"/>
      <c r="BH17" s="10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10"/>
      <c r="BP17" s="10" t="b">
        <v>1</v>
      </c>
      <c r="BQ17" s="10"/>
      <c r="BR17" s="1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10"/>
      <c r="BZ17" s="10" t="b">
        <v>1</v>
      </c>
      <c r="CA17" s="10"/>
      <c r="CB17" s="10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0">
        <v>3.5845475000000002E-2</v>
      </c>
      <c r="G18" s="10"/>
      <c r="H18" s="10" t="b">
        <v>1</v>
      </c>
      <c r="I18" s="10">
        <v>8.4886037999999997E-2</v>
      </c>
      <c r="J18" s="10">
        <v>0</v>
      </c>
      <c r="K18" s="10">
        <v>2.95202E-4</v>
      </c>
      <c r="L18" s="10">
        <v>0.239080299</v>
      </c>
      <c r="M18" s="43">
        <v>0.110088332</v>
      </c>
      <c r="N18" s="66">
        <v>41</v>
      </c>
      <c r="O18" s="10" t="s">
        <v>29</v>
      </c>
      <c r="P18" s="10" t="s">
        <v>30</v>
      </c>
      <c r="Q18" s="10">
        <v>0.12387535099999999</v>
      </c>
      <c r="R18" s="10" t="b">
        <v>0</v>
      </c>
      <c r="S18" s="10">
        <v>0.16379828900000001</v>
      </c>
      <c r="T18" s="10">
        <v>8.3952412000000004E-2</v>
      </c>
      <c r="U18" s="10">
        <v>0</v>
      </c>
      <c r="V18" s="10">
        <v>0</v>
      </c>
      <c r="W18" s="43">
        <v>0</v>
      </c>
      <c r="X18" s="10">
        <v>41</v>
      </c>
      <c r="Y18" s="10" t="s">
        <v>30</v>
      </c>
      <c r="Z18" s="10" t="s">
        <v>31</v>
      </c>
      <c r="AA18" s="10">
        <v>5.5950786000000002E-2</v>
      </c>
      <c r="AB18" s="10" t="b">
        <v>1</v>
      </c>
      <c r="AC18" s="10">
        <v>0.14175480100000001</v>
      </c>
      <c r="AD18" s="10">
        <v>0</v>
      </c>
      <c r="AE18" s="10">
        <v>9.7952499999999997E-4</v>
      </c>
      <c r="AF18" s="10">
        <v>0.77190243300000005</v>
      </c>
      <c r="AG18" s="10">
        <v>7.2219529000000005E-2</v>
      </c>
      <c r="AH18" s="66">
        <v>41</v>
      </c>
      <c r="AI18" s="10" t="s">
        <v>31</v>
      </c>
      <c r="AJ18" s="10" t="s">
        <v>32</v>
      </c>
      <c r="AK18" s="10">
        <v>6.5918049000000006E-2</v>
      </c>
      <c r="AL18" s="10" t="b">
        <v>1</v>
      </c>
      <c r="AM18" s="10">
        <v>0.19509016000000001</v>
      </c>
      <c r="AN18" s="10">
        <v>0</v>
      </c>
      <c r="AO18" s="10">
        <v>4.9738509999999996E-3</v>
      </c>
      <c r="AP18" s="10">
        <v>0.39306114399999997</v>
      </c>
      <c r="AQ18" s="43">
        <v>0.36671772400000002</v>
      </c>
      <c r="AR18" s="10">
        <v>41</v>
      </c>
      <c r="AS18" s="10" t="s">
        <v>32</v>
      </c>
      <c r="AT18" s="10" t="s">
        <v>33</v>
      </c>
      <c r="AU18" s="10">
        <v>4.2110125999999998E-2</v>
      </c>
      <c r="AV18" s="10" t="b">
        <v>1</v>
      </c>
      <c r="AW18" s="10">
        <v>0.12718396900000001</v>
      </c>
      <c r="AX18" s="10">
        <v>0</v>
      </c>
      <c r="AY18" s="10">
        <v>1.4654410000000001E-3</v>
      </c>
      <c r="AZ18" s="10">
        <v>0.99907336199999996</v>
      </c>
      <c r="BA18" s="43">
        <v>0.11580726700000001</v>
      </c>
      <c r="BB18" s="66">
        <v>41</v>
      </c>
      <c r="BC18" s="10" t="s">
        <v>33</v>
      </c>
      <c r="BD18" s="10" t="s">
        <v>34</v>
      </c>
      <c r="BE18" s="10"/>
      <c r="BF18" s="10" t="b">
        <v>1</v>
      </c>
      <c r="BG18" s="10"/>
      <c r="BH18" s="10"/>
      <c r="BI18" s="10"/>
      <c r="BJ18" s="10"/>
      <c r="BK18" s="43"/>
      <c r="BL18" s="10">
        <v>41</v>
      </c>
      <c r="BM18" s="10" t="s">
        <v>34</v>
      </c>
      <c r="BN18" s="10" t="s">
        <v>35</v>
      </c>
      <c r="BO18" s="10"/>
      <c r="BP18" s="10" t="b">
        <v>1</v>
      </c>
      <c r="BQ18" s="10"/>
      <c r="BR18" s="1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10"/>
      <c r="BZ18" s="10" t="b">
        <v>1</v>
      </c>
      <c r="CA18" s="10"/>
      <c r="CB18" s="10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 t="b">
        <v>1</v>
      </c>
      <c r="I19" s="10"/>
      <c r="J19" s="10"/>
      <c r="K19" s="10"/>
      <c r="L19" s="10"/>
      <c r="M19" s="43"/>
      <c r="N19" s="66">
        <v>42</v>
      </c>
      <c r="O19" s="10" t="s">
        <v>29</v>
      </c>
      <c r="P19" s="10" t="s">
        <v>30</v>
      </c>
      <c r="Q19" s="10"/>
      <c r="R19" s="10" t="b">
        <v>1</v>
      </c>
      <c r="S19" s="10"/>
      <c r="T19" s="10"/>
      <c r="U19" s="10"/>
      <c r="V19" s="10"/>
      <c r="W19" s="43"/>
      <c r="X19" s="10">
        <v>42</v>
      </c>
      <c r="Y19" s="10" t="s">
        <v>30</v>
      </c>
      <c r="Z19" s="10" t="s">
        <v>31</v>
      </c>
      <c r="AA19" s="10"/>
      <c r="AB19" s="10" t="b">
        <v>1</v>
      </c>
      <c r="AC19" s="10"/>
      <c r="AD19" s="10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10"/>
      <c r="AL19" s="10" t="b">
        <v>1</v>
      </c>
      <c r="AM19" s="10"/>
      <c r="AN19" s="10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10"/>
      <c r="AV19" s="10" t="b">
        <v>1</v>
      </c>
      <c r="AW19" s="10"/>
      <c r="AX19" s="10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10"/>
      <c r="BF19" s="10" t="b">
        <v>1</v>
      </c>
      <c r="BG19" s="10"/>
      <c r="BH19" s="10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10"/>
      <c r="BP19" s="10" t="b">
        <v>1</v>
      </c>
      <c r="BQ19" s="10"/>
      <c r="BR19" s="10"/>
      <c r="BS19" s="10"/>
      <c r="BT19" s="10"/>
      <c r="BU19" s="43"/>
      <c r="BV19" s="10">
        <v>42</v>
      </c>
      <c r="BW19" s="10" t="s">
        <v>35</v>
      </c>
      <c r="BX19" s="10" t="s">
        <v>36</v>
      </c>
      <c r="BY19" s="10">
        <v>4.8168882000000003E-2</v>
      </c>
      <c r="BZ19" s="10" t="b">
        <v>0</v>
      </c>
      <c r="CA19" s="10">
        <v>0.12911135800000001</v>
      </c>
      <c r="CB19" s="10">
        <v>0</v>
      </c>
      <c r="CC19" s="10">
        <v>0</v>
      </c>
      <c r="CD19" s="10">
        <v>0</v>
      </c>
      <c r="CE19" s="10">
        <v>0</v>
      </c>
    </row>
    <row r="20" spans="1:83" x14ac:dyDescent="0.25">
      <c r="A20" s="10">
        <v>43</v>
      </c>
      <c r="B20" s="10">
        <v>90</v>
      </c>
      <c r="C20" s="10">
        <v>43</v>
      </c>
      <c r="D20" s="66" t="s">
        <v>28</v>
      </c>
      <c r="E20" s="10" t="s">
        <v>29</v>
      </c>
      <c r="F20" s="10">
        <v>0.188970677</v>
      </c>
      <c r="G20" s="10"/>
      <c r="H20" s="10" t="b">
        <v>0</v>
      </c>
      <c r="I20" s="10">
        <v>0.28674717999999999</v>
      </c>
      <c r="J20" s="10">
        <v>9.1194173000000003E-2</v>
      </c>
      <c r="K20" s="10">
        <v>0</v>
      </c>
      <c r="L20" s="10">
        <v>0</v>
      </c>
      <c r="M20" s="43">
        <v>0</v>
      </c>
      <c r="N20" s="66">
        <v>43</v>
      </c>
      <c r="O20" s="10" t="s">
        <v>29</v>
      </c>
      <c r="P20" s="10" t="s">
        <v>30</v>
      </c>
      <c r="Q20" s="10"/>
      <c r="R20" s="10" t="b">
        <v>1</v>
      </c>
      <c r="S20" s="10"/>
      <c r="T20" s="10"/>
      <c r="U20" s="10"/>
      <c r="V20" s="10"/>
      <c r="W20" s="43"/>
      <c r="X20" s="10">
        <v>43</v>
      </c>
      <c r="Y20" s="10" t="s">
        <v>30</v>
      </c>
      <c r="Z20" s="10" t="s">
        <v>31</v>
      </c>
      <c r="AA20" s="10"/>
      <c r="AB20" s="10" t="b">
        <v>1</v>
      </c>
      <c r="AC20" s="10"/>
      <c r="AD20" s="10"/>
      <c r="AE20" s="10"/>
      <c r="AF20" s="10"/>
      <c r="AG20" s="10"/>
      <c r="AH20" s="66">
        <v>43</v>
      </c>
      <c r="AI20" s="10" t="s">
        <v>31</v>
      </c>
      <c r="AJ20" s="10" t="s">
        <v>32</v>
      </c>
      <c r="AK20" s="10">
        <v>7.6432389000000003E-2</v>
      </c>
      <c r="AL20" s="10" t="b">
        <v>1</v>
      </c>
      <c r="AM20" s="10">
        <v>0.28896877700000001</v>
      </c>
      <c r="AN20" s="10">
        <v>0</v>
      </c>
      <c r="AO20" s="10">
        <v>1.9589973E-2</v>
      </c>
      <c r="AP20" s="10">
        <v>0.55622585400000002</v>
      </c>
      <c r="AQ20" s="43">
        <v>0.54816983100000005</v>
      </c>
      <c r="AR20" s="10">
        <v>43</v>
      </c>
      <c r="AS20" s="10" t="s">
        <v>32</v>
      </c>
      <c r="AT20" s="10" t="s">
        <v>33</v>
      </c>
      <c r="AU20" s="10"/>
      <c r="AV20" s="10" t="b">
        <v>1</v>
      </c>
      <c r="AW20" s="10"/>
      <c r="AX20" s="10"/>
      <c r="AY20" s="10"/>
      <c r="AZ20" s="10"/>
      <c r="BA20" s="43"/>
      <c r="BB20" s="66">
        <v>43</v>
      </c>
      <c r="BC20" s="10" t="s">
        <v>33</v>
      </c>
      <c r="BD20" s="10" t="s">
        <v>34</v>
      </c>
      <c r="BE20" s="10"/>
      <c r="BF20" s="10" t="b">
        <v>1</v>
      </c>
      <c r="BG20" s="10"/>
      <c r="BH20" s="10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10"/>
      <c r="BP20" s="10" t="b">
        <v>1</v>
      </c>
      <c r="BQ20" s="10"/>
      <c r="BR20" s="1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10"/>
      <c r="BZ20" s="10" t="b">
        <v>1</v>
      </c>
      <c r="CA20" s="10"/>
      <c r="CB20" s="10"/>
      <c r="CC20" s="10"/>
      <c r="CD20" s="10"/>
      <c r="CE20" s="10"/>
    </row>
    <row r="21" spans="1:83" x14ac:dyDescent="0.25">
      <c r="A21" s="10">
        <v>44</v>
      </c>
      <c r="B21" s="10">
        <v>90</v>
      </c>
      <c r="C21" s="10">
        <v>44</v>
      </c>
      <c r="D21" s="66" t="s">
        <v>28</v>
      </c>
      <c r="E21" s="10" t="s">
        <v>29</v>
      </c>
      <c r="F21" s="10">
        <v>0.18800185899999999</v>
      </c>
      <c r="G21" s="10"/>
      <c r="H21" s="10" t="b">
        <v>1</v>
      </c>
      <c r="I21" s="10">
        <v>0.481764629</v>
      </c>
      <c r="J21" s="10">
        <v>0</v>
      </c>
      <c r="K21" s="10">
        <v>1.1807534E-2</v>
      </c>
      <c r="L21" s="10">
        <v>0.81392899500000004</v>
      </c>
      <c r="M21" s="43">
        <v>7.3709851000000007E-2</v>
      </c>
      <c r="N21" s="66">
        <v>44</v>
      </c>
      <c r="O21" s="10" t="s">
        <v>29</v>
      </c>
      <c r="P21" s="10" t="s">
        <v>30</v>
      </c>
      <c r="Q21" s="10">
        <v>0.13099992699999999</v>
      </c>
      <c r="R21" s="10" t="b">
        <v>0</v>
      </c>
      <c r="S21" s="10">
        <v>0.44961140300000002</v>
      </c>
      <c r="T21" s="10">
        <v>0</v>
      </c>
      <c r="U21" s="10">
        <v>0</v>
      </c>
      <c r="V21" s="10">
        <v>0</v>
      </c>
      <c r="W21" s="43">
        <v>0</v>
      </c>
      <c r="X21" s="10">
        <v>44</v>
      </c>
      <c r="Y21" s="10" t="s">
        <v>30</v>
      </c>
      <c r="Z21" s="10" t="s">
        <v>31</v>
      </c>
      <c r="AA21" s="10">
        <v>2.4132605000000001E-2</v>
      </c>
      <c r="AB21" s="10" t="b">
        <v>0</v>
      </c>
      <c r="AC21" s="10">
        <v>0.183205326</v>
      </c>
      <c r="AD21" s="10">
        <v>0</v>
      </c>
      <c r="AE21" s="10">
        <v>0</v>
      </c>
      <c r="AF21" s="10">
        <v>0</v>
      </c>
      <c r="AG21" s="10">
        <v>0</v>
      </c>
      <c r="AH21" s="66">
        <v>44</v>
      </c>
      <c r="AI21" s="10" t="s">
        <v>31</v>
      </c>
      <c r="AJ21" s="10" t="s">
        <v>32</v>
      </c>
      <c r="AK21" s="10">
        <v>3.8354721000000001E-2</v>
      </c>
      <c r="AL21" s="10" t="b">
        <v>0</v>
      </c>
      <c r="AM21" s="10">
        <v>0.10824921</v>
      </c>
      <c r="AN21" s="10">
        <v>0</v>
      </c>
      <c r="AO21" s="10">
        <v>0</v>
      </c>
      <c r="AP21" s="10">
        <v>0</v>
      </c>
      <c r="AQ21" s="43">
        <v>0</v>
      </c>
      <c r="AR21" s="10">
        <v>44</v>
      </c>
      <c r="AS21" s="10" t="s">
        <v>32</v>
      </c>
      <c r="AT21" s="10" t="s">
        <v>33</v>
      </c>
      <c r="AU21" s="10">
        <v>3.0107885000000001E-2</v>
      </c>
      <c r="AV21" s="10" t="b">
        <v>0</v>
      </c>
      <c r="AW21" s="10">
        <v>0.18176104700000001</v>
      </c>
      <c r="AX21" s="10">
        <v>0</v>
      </c>
      <c r="AY21" s="10">
        <v>0</v>
      </c>
      <c r="AZ21" s="10">
        <v>0</v>
      </c>
      <c r="BA21" s="43">
        <v>0</v>
      </c>
      <c r="BB21" s="66">
        <v>44</v>
      </c>
      <c r="BC21" s="10" t="s">
        <v>33</v>
      </c>
      <c r="BD21" s="10" t="s">
        <v>34</v>
      </c>
      <c r="BE21" s="10">
        <v>1.888923911</v>
      </c>
      <c r="BF21" s="10" t="b">
        <v>0</v>
      </c>
      <c r="BG21" s="10">
        <v>2.0519352980000001</v>
      </c>
      <c r="BH21" s="10">
        <v>1.7259125239999999</v>
      </c>
      <c r="BI21" s="10">
        <v>0</v>
      </c>
      <c r="BJ21" s="10">
        <v>0</v>
      </c>
      <c r="BK21" s="43">
        <v>0</v>
      </c>
      <c r="BL21" s="10">
        <v>44</v>
      </c>
      <c r="BM21" s="10" t="s">
        <v>34</v>
      </c>
      <c r="BN21" s="10" t="s">
        <v>35</v>
      </c>
      <c r="BO21" s="10">
        <v>3.4121001999999998E-2</v>
      </c>
      <c r="BP21" s="10" t="b">
        <v>0</v>
      </c>
      <c r="BQ21" s="10">
        <v>6.7270358000000002E-2</v>
      </c>
      <c r="BR21" s="10">
        <v>9.7164599999999995E-4</v>
      </c>
      <c r="BS21" s="10">
        <v>0</v>
      </c>
      <c r="BT21" s="10">
        <v>0</v>
      </c>
      <c r="BU21" s="43">
        <v>0</v>
      </c>
      <c r="BV21" s="10">
        <v>44</v>
      </c>
      <c r="BW21" s="10" t="s">
        <v>35</v>
      </c>
      <c r="BX21" s="10" t="s">
        <v>36</v>
      </c>
      <c r="BY21" s="10">
        <v>3.0599668E-2</v>
      </c>
      <c r="BZ21" s="10" t="b">
        <v>0</v>
      </c>
      <c r="CA21" s="10">
        <v>5.9750475999999997E-2</v>
      </c>
      <c r="CB21" s="10">
        <v>1.4488599999999999E-3</v>
      </c>
      <c r="CC21" s="10">
        <v>0</v>
      </c>
      <c r="CD21" s="10">
        <v>0</v>
      </c>
      <c r="CE21" s="10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 t="b">
        <v>1</v>
      </c>
      <c r="I22" s="10"/>
      <c r="J22" s="10"/>
      <c r="K22" s="10"/>
      <c r="L22" s="10"/>
      <c r="M22" s="43"/>
      <c r="N22" s="66">
        <v>113</v>
      </c>
      <c r="O22" s="10" t="s">
        <v>29</v>
      </c>
      <c r="P22" s="10" t="s">
        <v>30</v>
      </c>
      <c r="Q22" s="10"/>
      <c r="R22" s="10" t="b">
        <v>1</v>
      </c>
      <c r="S22" s="10"/>
      <c r="T22" s="10"/>
      <c r="U22" s="10"/>
      <c r="V22" s="10"/>
      <c r="W22" s="43"/>
      <c r="X22" s="10">
        <v>113</v>
      </c>
      <c r="Y22" s="10" t="s">
        <v>30</v>
      </c>
      <c r="Z22" s="10" t="s">
        <v>31</v>
      </c>
      <c r="AA22" s="10"/>
      <c r="AB22" s="10" t="b">
        <v>1</v>
      </c>
      <c r="AC22" s="10"/>
      <c r="AD22" s="10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10"/>
      <c r="AL22" s="10" t="b">
        <v>1</v>
      </c>
      <c r="AM22" s="10"/>
      <c r="AN22" s="10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10"/>
      <c r="AV22" s="10" t="b">
        <v>1</v>
      </c>
      <c r="AW22" s="10"/>
      <c r="AX22" s="10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 t="b">
        <v>1</v>
      </c>
      <c r="BG22" s="10"/>
      <c r="BH22" s="10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 t="b">
        <v>1</v>
      </c>
      <c r="BQ22" s="10"/>
      <c r="BR22" s="1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10"/>
      <c r="BZ22" s="10" t="b">
        <v>1</v>
      </c>
      <c r="CA22" s="10"/>
      <c r="CB22" s="10"/>
      <c r="CC22" s="10"/>
      <c r="CD22" s="10"/>
      <c r="CE22" s="10"/>
    </row>
    <row r="23" spans="1:83" x14ac:dyDescent="0.25">
      <c r="A23" s="12">
        <v>114</v>
      </c>
      <c r="B23" s="12">
        <v>90</v>
      </c>
      <c r="C23" s="12">
        <v>114</v>
      </c>
      <c r="D23" s="67" t="s">
        <v>28</v>
      </c>
      <c r="E23" s="12" t="s">
        <v>29</v>
      </c>
      <c r="F23" s="12">
        <v>9.3970508999999994E-2</v>
      </c>
      <c r="G23" s="12"/>
      <c r="H23" s="12" t="b">
        <v>1</v>
      </c>
      <c r="I23" s="12">
        <v>0.18822006299999999</v>
      </c>
      <c r="J23" s="12">
        <v>0</v>
      </c>
      <c r="K23" s="13">
        <v>1.35E-6</v>
      </c>
      <c r="L23" s="12">
        <v>1.99302E-4</v>
      </c>
      <c r="M23" s="44">
        <v>1.87524E-4</v>
      </c>
      <c r="N23" s="67">
        <v>114</v>
      </c>
      <c r="O23" s="12" t="s">
        <v>29</v>
      </c>
      <c r="P23" s="12" t="s">
        <v>30</v>
      </c>
      <c r="Q23" s="12">
        <v>0.25442938999999998</v>
      </c>
      <c r="R23" s="12" t="b">
        <v>0</v>
      </c>
      <c r="S23" s="12">
        <v>0.43670847899999998</v>
      </c>
      <c r="T23" s="12">
        <v>7.2150301E-2</v>
      </c>
      <c r="U23" s="12">
        <v>0</v>
      </c>
      <c r="V23" s="12">
        <v>0</v>
      </c>
      <c r="W23" s="44">
        <v>0</v>
      </c>
      <c r="X23" s="12">
        <v>114</v>
      </c>
      <c r="Y23" s="12" t="s">
        <v>30</v>
      </c>
      <c r="Z23" s="12" t="s">
        <v>31</v>
      </c>
      <c r="AA23" s="12">
        <v>0.18462187799999999</v>
      </c>
      <c r="AB23" s="12" t="b">
        <v>1</v>
      </c>
      <c r="AC23" s="12">
        <v>0.49459526199999998</v>
      </c>
      <c r="AD23" s="12">
        <v>0</v>
      </c>
      <c r="AE23" s="12">
        <v>2.1521097999999999E-2</v>
      </c>
      <c r="AF23" s="12">
        <v>0.37106941700000001</v>
      </c>
      <c r="AG23" s="12">
        <v>0.226000647</v>
      </c>
      <c r="AH23" s="67">
        <v>114</v>
      </c>
      <c r="AI23" s="12" t="s">
        <v>31</v>
      </c>
      <c r="AJ23" s="12" t="s">
        <v>32</v>
      </c>
      <c r="AK23" s="12">
        <v>9.4038952999999995E-2</v>
      </c>
      <c r="AL23" s="12" t="b">
        <v>0</v>
      </c>
      <c r="AM23" s="12">
        <v>0.27509726899999998</v>
      </c>
      <c r="AN23" s="12">
        <v>0</v>
      </c>
      <c r="AO23" s="12">
        <v>0</v>
      </c>
      <c r="AP23" s="12">
        <v>0</v>
      </c>
      <c r="AQ23" s="44">
        <v>0</v>
      </c>
      <c r="AR23" s="12">
        <v>114</v>
      </c>
      <c r="AS23" s="12" t="s">
        <v>32</v>
      </c>
      <c r="AT23" s="12" t="s">
        <v>33</v>
      </c>
      <c r="AU23" s="12">
        <v>0.55279790100000004</v>
      </c>
      <c r="AV23" s="12" t="b">
        <v>0</v>
      </c>
      <c r="AW23" s="12">
        <v>0.64570209300000003</v>
      </c>
      <c r="AX23" s="12">
        <v>0.45989370899999998</v>
      </c>
      <c r="AY23" s="12">
        <v>0</v>
      </c>
      <c r="AZ23" s="12">
        <v>0</v>
      </c>
      <c r="BA23" s="44">
        <v>0</v>
      </c>
      <c r="BB23" s="67">
        <v>114</v>
      </c>
      <c r="BC23" s="12" t="s">
        <v>33</v>
      </c>
      <c r="BD23" s="12" t="s">
        <v>34</v>
      </c>
      <c r="BE23" s="12"/>
      <c r="BF23" s="12" t="b">
        <v>1</v>
      </c>
      <c r="BG23" s="12"/>
      <c r="BH23" s="12"/>
      <c r="BI23" s="12"/>
      <c r="BJ23" s="12"/>
      <c r="BK23" s="44"/>
      <c r="BL23" s="12">
        <v>114</v>
      </c>
      <c r="BM23" s="12" t="s">
        <v>34</v>
      </c>
      <c r="BN23" s="12" t="s">
        <v>35</v>
      </c>
      <c r="BO23" s="12"/>
      <c r="BP23" s="12" t="b">
        <v>1</v>
      </c>
      <c r="BQ23" s="12"/>
      <c r="BR23" s="12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12"/>
      <c r="BZ23" s="12" t="b">
        <v>1</v>
      </c>
      <c r="CA23" s="12"/>
      <c r="CB23" s="12"/>
      <c r="CC23" s="12"/>
      <c r="CD23" s="12"/>
      <c r="CE23" s="12"/>
    </row>
    <row r="24" spans="1:83" x14ac:dyDescent="0.25">
      <c r="A24" s="10">
        <v>150</v>
      </c>
      <c r="B24" s="10"/>
      <c r="C24" s="10"/>
      <c r="D24" s="66"/>
      <c r="E24" s="10"/>
      <c r="F24" s="10"/>
      <c r="G24" s="10"/>
      <c r="H24" s="10"/>
      <c r="I24" s="10"/>
      <c r="J24" s="10"/>
      <c r="K24" s="10"/>
      <c r="L24" s="10"/>
      <c r="M24" s="43"/>
      <c r="N24" s="66"/>
      <c r="O24" s="10"/>
      <c r="P24" s="10"/>
      <c r="Q24" s="10"/>
      <c r="R24" s="10"/>
      <c r="S24" s="10"/>
      <c r="T24" s="10"/>
      <c r="U24" s="10"/>
      <c r="V24" s="10"/>
      <c r="W24" s="43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66"/>
      <c r="AI24" s="10"/>
      <c r="AJ24" s="10"/>
      <c r="AK24" s="10"/>
      <c r="AL24" s="10"/>
      <c r="AM24" s="10"/>
      <c r="AN24" s="10"/>
      <c r="AO24" s="10"/>
      <c r="AP24" s="10"/>
      <c r="AQ24" s="43"/>
      <c r="AR24" s="10"/>
      <c r="AS24" s="10"/>
      <c r="AT24" s="10"/>
      <c r="AU24" s="10"/>
      <c r="AV24" s="10"/>
      <c r="AW24" s="10"/>
      <c r="AX24" s="10"/>
      <c r="AY24" s="10"/>
      <c r="AZ24" s="10"/>
      <c r="BA24" s="43"/>
      <c r="BB24" s="66"/>
      <c r="BC24" s="10"/>
      <c r="BD24" s="10"/>
      <c r="BE24" s="10"/>
      <c r="BF24" s="10"/>
      <c r="BG24" s="10"/>
      <c r="BH24" s="10"/>
      <c r="BI24" s="10"/>
      <c r="BJ24" s="10"/>
      <c r="BK24" s="43"/>
      <c r="BL24" s="10"/>
      <c r="BM24" s="10" t="s">
        <v>34</v>
      </c>
      <c r="BN24" s="10" t="s">
        <v>35</v>
      </c>
      <c r="BO24" s="10">
        <v>1.6305336268867598E-2</v>
      </c>
      <c r="BP24" s="10"/>
      <c r="BQ24" s="10">
        <v>6.5640505047271494E-2</v>
      </c>
      <c r="BR24" s="10">
        <v>0</v>
      </c>
      <c r="BS24" s="10"/>
      <c r="BT24" s="10"/>
      <c r="BU24" s="43"/>
      <c r="BV24" s="10">
        <v>150</v>
      </c>
      <c r="BW24" s="10" t="s">
        <v>35</v>
      </c>
      <c r="BX24" s="10" t="s">
        <v>36</v>
      </c>
      <c r="BY24" s="10">
        <v>4.1946931522332302E-2</v>
      </c>
      <c r="BZ24" s="10"/>
      <c r="CA24" s="10">
        <v>0.114992242023</v>
      </c>
      <c r="CB24" s="10">
        <v>0</v>
      </c>
      <c r="CC24" s="10"/>
      <c r="CD24" s="10"/>
      <c r="CE24" s="10"/>
    </row>
    <row r="25" spans="1:83" x14ac:dyDescent="0.25">
      <c r="A25" s="10">
        <v>151</v>
      </c>
      <c r="B25" s="10"/>
      <c r="C25" s="10"/>
      <c r="D25" s="66"/>
      <c r="E25" s="10"/>
      <c r="F25" s="10"/>
      <c r="G25" s="10"/>
      <c r="H25" s="10"/>
      <c r="I25" s="10"/>
      <c r="J25" s="10"/>
      <c r="K25" s="10"/>
      <c r="L25" s="10"/>
      <c r="M25" s="43"/>
      <c r="N25" s="66"/>
      <c r="O25" s="10"/>
      <c r="P25" s="10"/>
      <c r="Q25" s="10"/>
      <c r="R25" s="10"/>
      <c r="S25" s="10"/>
      <c r="T25" s="10"/>
      <c r="U25" s="10"/>
      <c r="V25" s="10"/>
      <c r="W25" s="43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66"/>
      <c r="AI25" s="10"/>
      <c r="AJ25" s="10"/>
      <c r="AK25" s="10"/>
      <c r="AL25" s="10"/>
      <c r="AM25" s="10"/>
      <c r="AN25" s="10"/>
      <c r="AO25" s="10"/>
      <c r="AP25" s="10"/>
      <c r="AQ25" s="43"/>
      <c r="AR25" s="10"/>
      <c r="AS25" s="10"/>
      <c r="AT25" s="10"/>
      <c r="AU25" s="10"/>
      <c r="AV25" s="10"/>
      <c r="AW25" s="10"/>
      <c r="AX25" s="10"/>
      <c r="AY25" s="10"/>
      <c r="AZ25" s="10"/>
      <c r="BA25" s="43"/>
      <c r="BB25" s="66"/>
      <c r="BC25" s="10"/>
      <c r="BD25" s="10"/>
      <c r="BE25" s="10"/>
      <c r="BF25" s="10"/>
      <c r="BG25" s="10"/>
      <c r="BH25" s="10"/>
      <c r="BI25" s="10"/>
      <c r="BJ25" s="10"/>
      <c r="BK25" s="43"/>
      <c r="BL25" s="10"/>
      <c r="BM25" s="10" t="s">
        <v>34</v>
      </c>
      <c r="BN25" s="10" t="s">
        <v>35</v>
      </c>
      <c r="BO25" s="10">
        <v>1.7247674222065499E-2</v>
      </c>
      <c r="BP25" s="10"/>
      <c r="BQ25" s="10">
        <v>0.147983379774975</v>
      </c>
      <c r="BR25" s="10">
        <v>0</v>
      </c>
      <c r="BS25" s="10"/>
      <c r="BT25" s="10"/>
      <c r="BU25" s="43"/>
      <c r="BV25" s="10">
        <v>151</v>
      </c>
      <c r="BW25" s="10" t="s">
        <v>35</v>
      </c>
      <c r="BX25" s="10" t="s">
        <v>36</v>
      </c>
      <c r="BY25" s="10">
        <v>3.03598066457366</v>
      </c>
      <c r="BZ25" s="10"/>
      <c r="CA25" s="10">
        <v>4.0095573825889002</v>
      </c>
      <c r="CB25" s="10">
        <v>2.0624039465584301</v>
      </c>
      <c r="CC25" s="10"/>
      <c r="CD25" s="10"/>
      <c r="CE25" s="10"/>
    </row>
    <row r="26" spans="1:83" x14ac:dyDescent="0.25">
      <c r="A26" s="10">
        <v>152</v>
      </c>
      <c r="B26" s="10"/>
      <c r="C26" s="10"/>
      <c r="D26" s="66"/>
      <c r="E26" s="10"/>
      <c r="F26" s="10"/>
      <c r="G26" s="10"/>
      <c r="H26" s="10"/>
      <c r="I26" s="10"/>
      <c r="J26" s="10"/>
      <c r="K26" s="10"/>
      <c r="L26" s="10"/>
      <c r="M26" s="43"/>
      <c r="N26" s="66"/>
      <c r="O26" s="10"/>
      <c r="P26" s="10"/>
      <c r="Q26" s="10"/>
      <c r="R26" s="10"/>
      <c r="S26" s="10"/>
      <c r="T26" s="10"/>
      <c r="U26" s="10"/>
      <c r="V26" s="10"/>
      <c r="W26" s="43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66"/>
      <c r="AI26" s="10"/>
      <c r="AJ26" s="10"/>
      <c r="AK26" s="10"/>
      <c r="AL26" s="10"/>
      <c r="AM26" s="10"/>
      <c r="AN26" s="10"/>
      <c r="AO26" s="10"/>
      <c r="AP26" s="10"/>
      <c r="AQ26" s="43"/>
      <c r="AR26" s="10"/>
      <c r="AS26" s="10"/>
      <c r="AT26" s="10"/>
      <c r="AU26" s="10"/>
      <c r="AV26" s="10"/>
      <c r="AW26" s="10"/>
      <c r="AX26" s="10"/>
      <c r="AY26" s="10"/>
      <c r="AZ26" s="10"/>
      <c r="BA26" s="43"/>
      <c r="BB26" s="66"/>
      <c r="BC26" s="10"/>
      <c r="BD26" s="10"/>
      <c r="BE26" s="10"/>
      <c r="BF26" s="10"/>
      <c r="BG26" s="10"/>
      <c r="BH26" s="10"/>
      <c r="BI26" s="10"/>
      <c r="BJ26" s="10"/>
      <c r="BK26" s="43"/>
      <c r="BL26" s="10"/>
      <c r="BM26" s="10" t="s">
        <v>34</v>
      </c>
      <c r="BN26" s="10" t="s">
        <v>35</v>
      </c>
      <c r="BO26" s="10">
        <v>8.7564884774940205E-2</v>
      </c>
      <c r="BP26" s="10"/>
      <c r="BQ26" s="10">
        <v>0.14500527602136501</v>
      </c>
      <c r="BR26" s="10">
        <v>3.0124493528514599E-2</v>
      </c>
      <c r="BS26" s="10"/>
      <c r="BT26" s="10"/>
      <c r="BU26" s="43"/>
      <c r="BV26" s="10">
        <v>152</v>
      </c>
      <c r="BW26" s="10" t="s">
        <v>35</v>
      </c>
      <c r="BX26" s="10" t="s">
        <v>36</v>
      </c>
      <c r="BY26" s="10">
        <v>6.7224167317664202E-2</v>
      </c>
      <c r="BZ26" s="10"/>
      <c r="CA26" s="10">
        <v>0.13504977561901299</v>
      </c>
      <c r="CB26" s="10">
        <v>0</v>
      </c>
      <c r="CC26" s="10"/>
      <c r="CD26" s="10"/>
      <c r="CE26" s="10"/>
    </row>
    <row r="27" spans="1:83" x14ac:dyDescent="0.25">
      <c r="A27" s="10">
        <v>153</v>
      </c>
      <c r="B27" s="10"/>
      <c r="C27" s="10"/>
      <c r="D27" s="66"/>
      <c r="E27" s="10"/>
      <c r="F27" s="10"/>
      <c r="G27" s="10"/>
      <c r="H27" s="10"/>
      <c r="I27" s="10"/>
      <c r="J27" s="10"/>
      <c r="K27" s="10"/>
      <c r="L27" s="10"/>
      <c r="M27" s="43"/>
      <c r="N27" s="66"/>
      <c r="O27" s="10"/>
      <c r="P27" s="10"/>
      <c r="Q27" s="10"/>
      <c r="R27" s="10"/>
      <c r="S27" s="10"/>
      <c r="T27" s="10"/>
      <c r="U27" s="10"/>
      <c r="V27" s="10"/>
      <c r="W27" s="43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66"/>
      <c r="AI27" s="10"/>
      <c r="AJ27" s="10"/>
      <c r="AK27" s="10"/>
      <c r="AL27" s="10"/>
      <c r="AM27" s="10"/>
      <c r="AN27" s="10"/>
      <c r="AO27" s="10"/>
      <c r="AP27" s="10"/>
      <c r="AQ27" s="43"/>
      <c r="AR27" s="10"/>
      <c r="AS27" s="10"/>
      <c r="AT27" s="10"/>
      <c r="AU27" s="10"/>
      <c r="AV27" s="10"/>
      <c r="AW27" s="10"/>
      <c r="AX27" s="10"/>
      <c r="AY27" s="10"/>
      <c r="AZ27" s="10"/>
      <c r="BA27" s="43"/>
      <c r="BB27" s="66"/>
      <c r="BC27" s="10"/>
      <c r="BD27" s="10"/>
      <c r="BE27" s="10"/>
      <c r="BF27" s="10"/>
      <c r="BG27" s="10"/>
      <c r="BH27" s="10"/>
      <c r="BI27" s="10"/>
      <c r="BJ27" s="10"/>
      <c r="BK27" s="43"/>
      <c r="BL27" s="10"/>
      <c r="BM27" s="10" t="s">
        <v>34</v>
      </c>
      <c r="BN27" s="10" t="s">
        <v>35</v>
      </c>
      <c r="BO27" s="10">
        <v>9.5952304070636499E-2</v>
      </c>
      <c r="BP27" s="10"/>
      <c r="BQ27" s="10">
        <v>0.27915793458438898</v>
      </c>
      <c r="BR27" s="10">
        <v>0</v>
      </c>
      <c r="BS27" s="10"/>
      <c r="BT27" s="10"/>
      <c r="BU27" s="43"/>
      <c r="BV27" s="10">
        <v>153</v>
      </c>
      <c r="BW27" s="10" t="s">
        <v>35</v>
      </c>
      <c r="BX27" s="10" t="s">
        <v>36</v>
      </c>
      <c r="BY27" s="10">
        <v>2.7740456058924399</v>
      </c>
      <c r="BZ27" s="10"/>
      <c r="CA27" s="10">
        <v>4.8590254112401503</v>
      </c>
      <c r="CB27" s="10">
        <v>0.68906580054473099</v>
      </c>
      <c r="CC27" s="10"/>
      <c r="CD27" s="10"/>
      <c r="CE27" s="10"/>
    </row>
    <row r="28" spans="1:83" x14ac:dyDescent="0.25">
      <c r="A28" s="10">
        <v>154</v>
      </c>
      <c r="B28" s="10"/>
      <c r="C28" s="10"/>
      <c r="D28" s="66"/>
      <c r="E28" s="10"/>
      <c r="F28" s="10"/>
      <c r="G28" s="10"/>
      <c r="H28" s="10"/>
      <c r="I28" s="10"/>
      <c r="J28" s="10"/>
      <c r="K28" s="10"/>
      <c r="L28" s="10"/>
      <c r="M28" s="43"/>
      <c r="N28" s="66"/>
      <c r="O28" s="10"/>
      <c r="P28" s="10"/>
      <c r="Q28" s="10"/>
      <c r="R28" s="10"/>
      <c r="S28" s="10"/>
      <c r="T28" s="10"/>
      <c r="U28" s="10"/>
      <c r="V28" s="10"/>
      <c r="W28" s="43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66"/>
      <c r="AI28" s="10"/>
      <c r="AJ28" s="10"/>
      <c r="AK28" s="10"/>
      <c r="AL28" s="10"/>
      <c r="AM28" s="10"/>
      <c r="AN28" s="10"/>
      <c r="AO28" s="10"/>
      <c r="AP28" s="10"/>
      <c r="AQ28" s="43"/>
      <c r="AR28" s="10"/>
      <c r="AS28" s="10"/>
      <c r="AT28" s="10"/>
      <c r="AU28" s="10"/>
      <c r="AV28" s="10"/>
      <c r="AW28" s="10"/>
      <c r="AX28" s="10"/>
      <c r="AY28" s="10"/>
      <c r="AZ28" s="10"/>
      <c r="BA28" s="43"/>
      <c r="BB28" s="66"/>
      <c r="BC28" s="10"/>
      <c r="BD28" s="10"/>
      <c r="BE28" s="10"/>
      <c r="BF28" s="10"/>
      <c r="BG28" s="10"/>
      <c r="BH28" s="10"/>
      <c r="BI28" s="10"/>
      <c r="BJ28" s="10"/>
      <c r="BK28" s="43"/>
      <c r="BL28" s="10"/>
      <c r="BM28" s="10" t="s">
        <v>34</v>
      </c>
      <c r="BN28" s="10" t="s">
        <v>35</v>
      </c>
      <c r="BO28" s="10">
        <v>6.3521871131797997E-2</v>
      </c>
      <c r="BP28" s="10"/>
      <c r="BQ28" s="10">
        <v>0.25355857394021802</v>
      </c>
      <c r="BR28" s="10">
        <v>0</v>
      </c>
      <c r="BS28" s="10"/>
      <c r="BT28" s="10"/>
      <c r="BU28" s="43"/>
      <c r="BV28" s="10">
        <v>154</v>
      </c>
      <c r="BW28" s="10" t="s">
        <v>35</v>
      </c>
      <c r="BX28" s="10" t="s">
        <v>36</v>
      </c>
      <c r="BY28" s="10">
        <v>0.12725038617113299</v>
      </c>
      <c r="BZ28" s="10"/>
      <c r="CA28" s="10">
        <v>0.27710616915414399</v>
      </c>
      <c r="CB28" s="10">
        <v>0</v>
      </c>
      <c r="CC28" s="10"/>
      <c r="CD28" s="10"/>
      <c r="CE28" s="10"/>
    </row>
    <row r="29" spans="1:83" x14ac:dyDescent="0.25">
      <c r="A29" s="10">
        <v>155</v>
      </c>
      <c r="B29" s="10"/>
      <c r="C29" s="10"/>
      <c r="D29" s="66"/>
      <c r="E29" s="10"/>
      <c r="F29" s="10"/>
      <c r="G29" s="10"/>
      <c r="H29" s="10"/>
      <c r="I29" s="10"/>
      <c r="J29" s="10"/>
      <c r="K29" s="10"/>
      <c r="L29" s="10"/>
      <c r="M29" s="43"/>
      <c r="N29" s="66"/>
      <c r="O29" s="10"/>
      <c r="P29" s="10"/>
      <c r="Q29" s="10"/>
      <c r="R29" s="10"/>
      <c r="S29" s="10"/>
      <c r="T29" s="10"/>
      <c r="U29" s="10"/>
      <c r="V29" s="10"/>
      <c r="W29" s="43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66"/>
      <c r="AI29" s="10"/>
      <c r="AJ29" s="10"/>
      <c r="AK29" s="10"/>
      <c r="AL29" s="10"/>
      <c r="AM29" s="10"/>
      <c r="AN29" s="10"/>
      <c r="AO29" s="10"/>
      <c r="AP29" s="10"/>
      <c r="AQ29" s="43"/>
      <c r="AR29" s="10"/>
      <c r="AS29" s="10"/>
      <c r="AT29" s="10"/>
      <c r="AU29" s="10"/>
      <c r="AV29" s="10"/>
      <c r="AW29" s="10"/>
      <c r="AX29" s="10"/>
      <c r="AY29" s="10"/>
      <c r="AZ29" s="10"/>
      <c r="BA29" s="43"/>
      <c r="BB29" s="66"/>
      <c r="BC29" s="10"/>
      <c r="BD29" s="10"/>
      <c r="BE29" s="10"/>
      <c r="BF29" s="10"/>
      <c r="BG29" s="10"/>
      <c r="BH29" s="10"/>
      <c r="BI29" s="10"/>
      <c r="BJ29" s="10"/>
      <c r="BK29" s="43"/>
      <c r="BL29" s="10"/>
      <c r="BM29" s="10" t="s">
        <v>34</v>
      </c>
      <c r="BN29" s="10" t="s">
        <v>35</v>
      </c>
      <c r="BO29" s="10">
        <v>0.162511801620709</v>
      </c>
      <c r="BP29" s="10"/>
      <c r="BQ29" s="10">
        <v>0.399792071111015</v>
      </c>
      <c r="BR29" s="10">
        <v>0</v>
      </c>
      <c r="BS29" s="10"/>
      <c r="BT29" s="10"/>
      <c r="BU29" s="43"/>
      <c r="BV29" s="10">
        <v>155</v>
      </c>
      <c r="BW29" s="10" t="s">
        <v>35</v>
      </c>
      <c r="BX29" s="10" t="s">
        <v>36</v>
      </c>
      <c r="BY29" s="10">
        <v>0.21663307476214799</v>
      </c>
      <c r="BZ29" s="10"/>
      <c r="CA29" s="10">
        <v>0.57203554270989898</v>
      </c>
      <c r="CB29" s="10">
        <v>0</v>
      </c>
      <c r="CC29" s="10"/>
      <c r="CD29" s="10"/>
      <c r="CE29" s="10"/>
    </row>
    <row r="30" spans="1:83" x14ac:dyDescent="0.25">
      <c r="A30" s="10">
        <v>156</v>
      </c>
      <c r="B30" s="10"/>
      <c r="C30" s="10"/>
      <c r="D30" s="66"/>
      <c r="E30" s="10"/>
      <c r="F30" s="10"/>
      <c r="G30" s="10"/>
      <c r="H30" s="10"/>
      <c r="I30" s="10"/>
      <c r="J30" s="10"/>
      <c r="K30" s="10"/>
      <c r="L30" s="10"/>
      <c r="M30" s="43"/>
      <c r="N30" s="66"/>
      <c r="O30" s="10"/>
      <c r="P30" s="10"/>
      <c r="Q30" s="10"/>
      <c r="R30" s="10"/>
      <c r="S30" s="10"/>
      <c r="T30" s="10"/>
      <c r="U30" s="10"/>
      <c r="V30" s="10"/>
      <c r="W30" s="43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66"/>
      <c r="AI30" s="10"/>
      <c r="AJ30" s="10"/>
      <c r="AK30" s="10"/>
      <c r="AL30" s="10"/>
      <c r="AM30" s="10"/>
      <c r="AN30" s="10"/>
      <c r="AO30" s="10"/>
      <c r="AP30" s="10"/>
      <c r="AQ30" s="43"/>
      <c r="AR30" s="10"/>
      <c r="AS30" s="10"/>
      <c r="AT30" s="10"/>
      <c r="AU30" s="10"/>
      <c r="AV30" s="10"/>
      <c r="AW30" s="10"/>
      <c r="AX30" s="10"/>
      <c r="AY30" s="10"/>
      <c r="AZ30" s="10"/>
      <c r="BA30" s="43"/>
      <c r="BB30" s="66"/>
      <c r="BC30" s="10"/>
      <c r="BD30" s="10"/>
      <c r="BE30" s="10"/>
      <c r="BF30" s="10"/>
      <c r="BG30" s="10"/>
      <c r="BH30" s="10"/>
      <c r="BI30" s="10"/>
      <c r="BJ30" s="10"/>
      <c r="BK30" s="43"/>
      <c r="BL30" s="10"/>
      <c r="BM30" s="10" t="s">
        <v>34</v>
      </c>
      <c r="BN30" s="10" t="s">
        <v>35</v>
      </c>
      <c r="BO30" s="10">
        <v>0.10858693384262</v>
      </c>
      <c r="BP30" s="10"/>
      <c r="BQ30" s="10">
        <v>0.63964327923770703</v>
      </c>
      <c r="BR30" s="10">
        <v>0</v>
      </c>
      <c r="BS30" s="10"/>
      <c r="BT30" s="10"/>
      <c r="BU30" s="43"/>
      <c r="BV30" s="10">
        <v>156</v>
      </c>
      <c r="BW30" s="10" t="s">
        <v>35</v>
      </c>
      <c r="BX30" s="10" t="s">
        <v>36</v>
      </c>
      <c r="BY30" s="10">
        <v>4.5289576349963001E-2</v>
      </c>
      <c r="BZ30" s="10"/>
      <c r="CA30" s="10">
        <v>0.55190156157866799</v>
      </c>
      <c r="CB30" s="10">
        <v>0</v>
      </c>
      <c r="CC30" s="10"/>
      <c r="CD30" s="10"/>
      <c r="CE30" s="10"/>
    </row>
    <row r="31" spans="1:83" x14ac:dyDescent="0.25">
      <c r="A31" s="10">
        <v>157</v>
      </c>
      <c r="B31" s="10"/>
      <c r="C31" s="10"/>
      <c r="D31" s="66"/>
      <c r="E31" s="10"/>
      <c r="F31" s="10"/>
      <c r="G31" s="10"/>
      <c r="H31" s="10"/>
      <c r="I31" s="10"/>
      <c r="J31" s="10"/>
      <c r="K31" s="10"/>
      <c r="L31" s="10"/>
      <c r="M31" s="43"/>
      <c r="N31" s="66"/>
      <c r="O31" s="10"/>
      <c r="P31" s="10"/>
      <c r="Q31" s="10"/>
      <c r="R31" s="10"/>
      <c r="S31" s="10"/>
      <c r="T31" s="10"/>
      <c r="U31" s="10"/>
      <c r="V31" s="10"/>
      <c r="W31" s="43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66"/>
      <c r="AI31" s="10"/>
      <c r="AJ31" s="10"/>
      <c r="AK31" s="10"/>
      <c r="AL31" s="10"/>
      <c r="AM31" s="10"/>
      <c r="AN31" s="10"/>
      <c r="AO31" s="10"/>
      <c r="AP31" s="10"/>
      <c r="AQ31" s="43"/>
      <c r="AR31" s="10"/>
      <c r="AS31" s="10"/>
      <c r="AT31" s="10"/>
      <c r="AU31" s="10"/>
      <c r="AV31" s="10"/>
      <c r="AW31" s="10"/>
      <c r="AX31" s="10"/>
      <c r="AY31" s="10"/>
      <c r="AZ31" s="10"/>
      <c r="BA31" s="43"/>
      <c r="BB31" s="66"/>
      <c r="BC31" s="10"/>
      <c r="BD31" s="10"/>
      <c r="BE31" s="10"/>
      <c r="BF31" s="10"/>
      <c r="BG31" s="10"/>
      <c r="BH31" s="10"/>
      <c r="BI31" s="10"/>
      <c r="BJ31" s="10"/>
      <c r="BK31" s="43"/>
      <c r="BL31" s="10"/>
      <c r="BM31" s="10" t="s">
        <v>34</v>
      </c>
      <c r="BN31" s="10" t="s">
        <v>35</v>
      </c>
      <c r="BO31" s="10">
        <v>3.25405870576519E-2</v>
      </c>
      <c r="BP31" s="10"/>
      <c r="BQ31" s="10">
        <v>7.0798635943459795E-2</v>
      </c>
      <c r="BR31" s="10">
        <v>0</v>
      </c>
      <c r="BS31" s="10"/>
      <c r="BT31" s="10"/>
      <c r="BU31" s="43"/>
      <c r="BV31" s="10">
        <v>157</v>
      </c>
      <c r="BW31" s="10" t="s">
        <v>35</v>
      </c>
      <c r="BX31" s="10" t="s">
        <v>36</v>
      </c>
      <c r="BY31" s="10">
        <v>3.8814962192792103E-2</v>
      </c>
      <c r="BZ31" s="10"/>
      <c r="CA31" s="10">
        <v>8.6544650088813693E-2</v>
      </c>
      <c r="CB31" s="10">
        <v>0</v>
      </c>
      <c r="CC31" s="10"/>
      <c r="CD31" s="10"/>
      <c r="CE31" s="10"/>
    </row>
    <row r="32" spans="1:83" s="36" customFormat="1" x14ac:dyDescent="0.25">
      <c r="A32" s="96" t="s">
        <v>41</v>
      </c>
      <c r="B32" s="96"/>
      <c r="C32" s="96"/>
      <c r="D32" s="97"/>
      <c r="E32" s="96"/>
      <c r="F32" s="90">
        <f>AVERAGE(F11:F31)</f>
        <v>0.52382249471428566</v>
      </c>
      <c r="G32" s="90"/>
      <c r="H32" s="90"/>
      <c r="I32" s="90">
        <f>AVERAGE(I11:I31)</f>
        <v>0.74675924342857136</v>
      </c>
      <c r="J32" s="9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90">
        <f>AVERAGE(S11:S31)</f>
        <v>0.378396381</v>
      </c>
      <c r="T32" s="9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90">
        <f>AVERAGE(AC11:AC31)</f>
        <v>0.22456418574999998</v>
      </c>
      <c r="AD32" s="9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90">
        <f>AVERAGE(AM11:AM31)</f>
        <v>0.20458116279999999</v>
      </c>
      <c r="AN32" s="9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90">
        <f>AVERAGE(AW11:AW31)</f>
        <v>0.31821570300000002</v>
      </c>
      <c r="AX32" s="9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90">
        <f>AVERAGE(BG11:BG31)</f>
        <v>1.1784621582499999</v>
      </c>
      <c r="BH32" s="9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90">
        <f>AVERAGE(BQ11:BQ31)</f>
        <v>0.27917344343541539</v>
      </c>
      <c r="BR32" s="9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90">
        <f>AVERAGE(CA11:CA31)</f>
        <v>1.2336463822144705</v>
      </c>
      <c r="CB32" s="9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 t="b">
        <v>1</v>
      </c>
      <c r="I33" s="16"/>
      <c r="J33" s="16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 t="b">
        <v>1</v>
      </c>
      <c r="S33" s="16"/>
      <c r="T33" s="1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 t="b">
        <v>1</v>
      </c>
      <c r="AC33" s="16"/>
      <c r="AD33" s="16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 t="b">
        <v>1</v>
      </c>
      <c r="AM33" s="16"/>
      <c r="AN33" s="1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 t="b">
        <v>1</v>
      </c>
      <c r="AW33" s="16"/>
      <c r="AX33" s="1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 t="b">
        <v>1</v>
      </c>
      <c r="BG33" s="16"/>
      <c r="BH33" s="16"/>
      <c r="BI33" s="16"/>
      <c r="BJ33" s="16"/>
      <c r="BK33" s="45"/>
      <c r="BL33" s="16">
        <v>10</v>
      </c>
      <c r="BM33" s="14" t="s">
        <v>34</v>
      </c>
      <c r="BN33" s="16" t="s">
        <v>35</v>
      </c>
      <c r="BO33" s="16">
        <v>4.2815157999999999E-2</v>
      </c>
      <c r="BP33" s="16" t="b">
        <v>0</v>
      </c>
      <c r="BQ33" s="16">
        <v>4.4971862000000001E-2</v>
      </c>
      <c r="BR33" s="16">
        <v>4.0658453999999997E-2</v>
      </c>
      <c r="BS33" s="16">
        <v>0</v>
      </c>
      <c r="BT33" s="16">
        <v>0</v>
      </c>
      <c r="BU33" s="45">
        <v>0</v>
      </c>
      <c r="BV33" s="16">
        <v>10</v>
      </c>
      <c r="BW33" s="16" t="s">
        <v>35</v>
      </c>
      <c r="BX33" s="16" t="s">
        <v>36</v>
      </c>
      <c r="BY33" s="16">
        <v>1.9916970999999999E-2</v>
      </c>
      <c r="BZ33" s="16" t="b">
        <v>0</v>
      </c>
      <c r="CA33" s="16">
        <v>2.6450206E-2</v>
      </c>
      <c r="CB33" s="16">
        <v>1.3383736E-2</v>
      </c>
      <c r="CC33" s="16">
        <v>0</v>
      </c>
      <c r="CD33" s="16">
        <v>0</v>
      </c>
      <c r="CE33" s="16">
        <v>0</v>
      </c>
    </row>
    <row r="34" spans="1:83" x14ac:dyDescent="0.25">
      <c r="A34" s="14">
        <v>13</v>
      </c>
      <c r="B34" s="14">
        <v>64</v>
      </c>
      <c r="C34" s="14">
        <v>13</v>
      </c>
      <c r="D34" s="69" t="s">
        <v>28</v>
      </c>
      <c r="E34" s="14" t="s">
        <v>29</v>
      </c>
      <c r="F34" s="14">
        <v>0.24319690599999999</v>
      </c>
      <c r="G34" s="14"/>
      <c r="H34" s="14" t="b">
        <v>1</v>
      </c>
      <c r="I34" s="14">
        <v>0.52359581200000005</v>
      </c>
      <c r="J34" s="14">
        <v>0</v>
      </c>
      <c r="K34" s="14">
        <v>3.5037929999999998E-3</v>
      </c>
      <c r="L34" s="14">
        <v>6.3565559999999993E-2</v>
      </c>
      <c r="M34" s="46">
        <v>5.0959042000000003E-2</v>
      </c>
      <c r="N34" s="69">
        <v>13</v>
      </c>
      <c r="O34" s="14" t="s">
        <v>29</v>
      </c>
      <c r="P34" s="14" t="s">
        <v>30</v>
      </c>
      <c r="Q34" s="14">
        <v>6.7243546000000001E-2</v>
      </c>
      <c r="R34" s="14" t="b">
        <v>0</v>
      </c>
      <c r="S34" s="14">
        <v>0.24389603800000001</v>
      </c>
      <c r="T34" s="14">
        <v>0</v>
      </c>
      <c r="U34" s="14">
        <v>0</v>
      </c>
      <c r="V34" s="14">
        <v>0</v>
      </c>
      <c r="W34" s="46">
        <v>0</v>
      </c>
      <c r="X34" s="14">
        <v>13</v>
      </c>
      <c r="Y34" s="14" t="s">
        <v>30</v>
      </c>
      <c r="Z34" s="14" t="s">
        <v>31</v>
      </c>
      <c r="AA34" s="14">
        <v>7.1798740000000002E-3</v>
      </c>
      <c r="AB34" s="14" t="b">
        <v>0</v>
      </c>
      <c r="AC34" s="14">
        <v>0.15865064600000001</v>
      </c>
      <c r="AD34" s="14">
        <v>0</v>
      </c>
      <c r="AE34" s="14">
        <v>0</v>
      </c>
      <c r="AF34" s="14">
        <v>0</v>
      </c>
      <c r="AG34" s="14">
        <v>0</v>
      </c>
      <c r="AH34" s="69">
        <v>13</v>
      </c>
      <c r="AI34" s="14" t="s">
        <v>31</v>
      </c>
      <c r="AJ34" s="14" t="s">
        <v>32</v>
      </c>
      <c r="AK34" s="14">
        <v>6.8846679999999993E-2</v>
      </c>
      <c r="AL34" s="14" t="b">
        <v>1</v>
      </c>
      <c r="AM34" s="14">
        <v>0.27606673700000001</v>
      </c>
      <c r="AN34" s="14">
        <v>0</v>
      </c>
      <c r="AO34" s="14">
        <v>1.9682396000000001E-2</v>
      </c>
      <c r="AP34" s="14">
        <v>0.627234921</v>
      </c>
      <c r="AQ34" s="46">
        <v>0.54438726199999998</v>
      </c>
      <c r="AR34" s="14">
        <v>13</v>
      </c>
      <c r="AS34" s="14" t="s">
        <v>32</v>
      </c>
      <c r="AT34" s="14" t="s">
        <v>33</v>
      </c>
      <c r="AU34" s="14">
        <v>4.0248084000000003E-2</v>
      </c>
      <c r="AV34" s="14" t="b">
        <v>0</v>
      </c>
      <c r="AW34" s="14">
        <v>0.41249718600000002</v>
      </c>
      <c r="AX34" s="14">
        <v>0</v>
      </c>
      <c r="AY34" s="14">
        <v>0</v>
      </c>
      <c r="AZ34" s="14">
        <v>0</v>
      </c>
      <c r="BA34" s="46">
        <v>0</v>
      </c>
      <c r="BB34" s="69">
        <v>13</v>
      </c>
      <c r="BC34" s="14" t="s">
        <v>33</v>
      </c>
      <c r="BD34" s="14" t="s">
        <v>34</v>
      </c>
      <c r="BE34" s="14">
        <v>0.92560784399999996</v>
      </c>
      <c r="BF34" s="14" t="b">
        <v>0</v>
      </c>
      <c r="BG34" s="14">
        <v>1.3149511169999999</v>
      </c>
      <c r="BH34" s="14">
        <v>0.53626457000000005</v>
      </c>
      <c r="BI34" s="14">
        <v>0</v>
      </c>
      <c r="BJ34" s="14">
        <v>0</v>
      </c>
      <c r="BK34" s="46">
        <v>0</v>
      </c>
      <c r="BL34" s="14">
        <v>13</v>
      </c>
      <c r="BM34" s="14" t="s">
        <v>34</v>
      </c>
      <c r="BN34" s="14" t="s">
        <v>35</v>
      </c>
      <c r="BO34" s="14">
        <v>7.3811141999999996E-2</v>
      </c>
      <c r="BP34" s="14" t="b">
        <v>1</v>
      </c>
      <c r="BQ34" s="14">
        <v>0.36483272300000003</v>
      </c>
      <c r="BR34" s="14">
        <v>0</v>
      </c>
      <c r="BS34" s="14">
        <v>4.0854502000000001E-2</v>
      </c>
      <c r="BT34" s="14">
        <v>0.94939799499999999</v>
      </c>
      <c r="BU34" s="46">
        <v>0.42960113900000002</v>
      </c>
      <c r="BV34" s="14">
        <v>13</v>
      </c>
      <c r="BW34" s="14" t="s">
        <v>35</v>
      </c>
      <c r="BX34" s="14" t="s">
        <v>36</v>
      </c>
      <c r="BY34" s="14">
        <v>8.3340819999999996E-2</v>
      </c>
      <c r="BZ34" s="14" t="b">
        <v>1</v>
      </c>
      <c r="CA34" s="14">
        <v>0.39823658099999998</v>
      </c>
      <c r="CB34" s="14">
        <v>0</v>
      </c>
      <c r="CC34" s="14">
        <v>5.0639648000000002E-2</v>
      </c>
      <c r="CD34" s="14">
        <v>0.81180876499999999</v>
      </c>
      <c r="CE34" s="14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/>
      <c r="K35" s="14"/>
      <c r="L35" s="14"/>
      <c r="M35" s="46"/>
      <c r="N35" s="69">
        <v>14</v>
      </c>
      <c r="O35" s="14" t="s">
        <v>29</v>
      </c>
      <c r="P35" s="14" t="s">
        <v>30</v>
      </c>
      <c r="Q35" s="14"/>
      <c r="R35" s="14" t="b">
        <v>1</v>
      </c>
      <c r="S35" s="14"/>
      <c r="T35" s="14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 t="b">
        <v>1</v>
      </c>
      <c r="AC35" s="14"/>
      <c r="AD35" s="14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 t="b">
        <v>1</v>
      </c>
      <c r="AM35" s="14"/>
      <c r="AN35" s="14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14"/>
      <c r="AV35" s="14" t="b">
        <v>1</v>
      </c>
      <c r="AW35" s="14"/>
      <c r="AX35" s="14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14"/>
      <c r="BF35" s="14" t="b">
        <v>1</v>
      </c>
      <c r="BG35" s="14"/>
      <c r="BH35" s="14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14"/>
      <c r="BP35" s="14" t="b">
        <v>1</v>
      </c>
      <c r="BQ35" s="14"/>
      <c r="BR35" s="14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14"/>
      <c r="BZ35" s="14" t="b">
        <v>1</v>
      </c>
      <c r="CA35" s="14"/>
      <c r="CB35" s="14"/>
      <c r="CC35" s="14"/>
      <c r="CD35" s="14"/>
      <c r="CE35" s="14"/>
    </row>
    <row r="36" spans="1:83" x14ac:dyDescent="0.25">
      <c r="A36" s="14">
        <v>15</v>
      </c>
      <c r="B36" s="14">
        <v>64</v>
      </c>
      <c r="C36" s="14">
        <v>15</v>
      </c>
      <c r="D36" s="69" t="s">
        <v>28</v>
      </c>
      <c r="E36" s="14" t="s">
        <v>29</v>
      </c>
      <c r="F36" s="14">
        <v>0.39228924900000001</v>
      </c>
      <c r="G36" s="14"/>
      <c r="H36" s="14" t="b">
        <v>0</v>
      </c>
      <c r="I36" s="14">
        <v>0.58702759699999996</v>
      </c>
      <c r="J36" s="14">
        <v>0.1975509</v>
      </c>
      <c r="K36" s="14">
        <v>0</v>
      </c>
      <c r="L36" s="14">
        <v>0</v>
      </c>
      <c r="M36" s="46">
        <v>0</v>
      </c>
      <c r="N36" s="69">
        <v>15</v>
      </c>
      <c r="O36" s="14" t="s">
        <v>29</v>
      </c>
      <c r="P36" s="14" t="s">
        <v>30</v>
      </c>
      <c r="Q36" s="14">
        <v>0.25910138700000002</v>
      </c>
      <c r="R36" s="14" t="b">
        <v>0</v>
      </c>
      <c r="S36" s="14">
        <v>0.42411475100000001</v>
      </c>
      <c r="T36" s="14">
        <v>9.4088023000000007E-2</v>
      </c>
      <c r="U36" s="14">
        <v>0</v>
      </c>
      <c r="V36" s="14">
        <v>0</v>
      </c>
      <c r="W36" s="46">
        <v>0</v>
      </c>
      <c r="X36" s="14">
        <v>15</v>
      </c>
      <c r="Y36" s="14" t="s">
        <v>30</v>
      </c>
      <c r="Z36" s="14" t="s">
        <v>31</v>
      </c>
      <c r="AA36" s="14">
        <v>0.135459566</v>
      </c>
      <c r="AB36" s="14" t="b">
        <v>0</v>
      </c>
      <c r="AC36" s="14">
        <v>0.25320037200000001</v>
      </c>
      <c r="AD36" s="14">
        <v>1.771876E-2</v>
      </c>
      <c r="AE36" s="14">
        <v>0</v>
      </c>
      <c r="AF36" s="14">
        <v>0</v>
      </c>
      <c r="AG36" s="14">
        <v>0</v>
      </c>
      <c r="AH36" s="69">
        <v>15</v>
      </c>
      <c r="AI36" s="14" t="s">
        <v>31</v>
      </c>
      <c r="AJ36" s="14" t="s">
        <v>32</v>
      </c>
      <c r="AK36" s="14">
        <v>0.18819760899999999</v>
      </c>
      <c r="AL36" s="14" t="b">
        <v>1</v>
      </c>
      <c r="AM36" s="14">
        <v>0.40681180099999997</v>
      </c>
      <c r="AN36" s="14">
        <v>0</v>
      </c>
      <c r="AO36" s="14">
        <v>2.2309280000000001E-3</v>
      </c>
      <c r="AP36" s="14">
        <v>9.3983902999999994E-2</v>
      </c>
      <c r="AQ36" s="46">
        <v>4.0947813999999999E-2</v>
      </c>
      <c r="AR36" s="14">
        <v>15</v>
      </c>
      <c r="AS36" s="14" t="s">
        <v>32</v>
      </c>
      <c r="AT36" s="14" t="s">
        <v>33</v>
      </c>
      <c r="AU36" s="14"/>
      <c r="AV36" s="14" t="b">
        <v>1</v>
      </c>
      <c r="AW36" s="14"/>
      <c r="AX36" s="14"/>
      <c r="AY36" s="14"/>
      <c r="AZ36" s="14"/>
      <c r="BA36" s="46"/>
      <c r="BB36" s="69">
        <v>15</v>
      </c>
      <c r="BC36" s="14" t="s">
        <v>33</v>
      </c>
      <c r="BD36" s="14" t="s">
        <v>34</v>
      </c>
      <c r="BE36" s="14"/>
      <c r="BF36" s="14" t="b">
        <v>1</v>
      </c>
      <c r="BG36" s="14"/>
      <c r="BH36" s="14"/>
      <c r="BI36" s="14"/>
      <c r="BJ36" s="14"/>
      <c r="BK36" s="46"/>
      <c r="BL36" s="14">
        <v>15</v>
      </c>
      <c r="BM36" s="14" t="s">
        <v>34</v>
      </c>
      <c r="BN36" s="14" t="s">
        <v>35</v>
      </c>
      <c r="BO36" s="14">
        <v>0.101725071</v>
      </c>
      <c r="BP36" s="14" t="b">
        <v>0</v>
      </c>
      <c r="BQ36" s="14">
        <v>0.36596635599999999</v>
      </c>
      <c r="BR36" s="14">
        <v>0</v>
      </c>
      <c r="BS36" s="14">
        <v>0</v>
      </c>
      <c r="BT36" s="14">
        <v>0</v>
      </c>
      <c r="BU36" s="46">
        <v>0</v>
      </c>
      <c r="BV36" s="14">
        <v>15</v>
      </c>
      <c r="BW36" s="14" t="s">
        <v>35</v>
      </c>
      <c r="BX36" s="14" t="s">
        <v>36</v>
      </c>
      <c r="BY36" s="14">
        <v>0.14297247299999999</v>
      </c>
      <c r="BZ36" s="14" t="b">
        <v>1</v>
      </c>
      <c r="CA36" s="14">
        <v>0.31987594000000003</v>
      </c>
      <c r="CB36" s="14">
        <v>0</v>
      </c>
      <c r="CC36" s="14">
        <v>1.7664239999999999E-3</v>
      </c>
      <c r="CD36" s="14">
        <v>0.44385763299999997</v>
      </c>
      <c r="CE36" s="14">
        <v>2.8157204000000002E-2</v>
      </c>
    </row>
    <row r="37" spans="1:83" x14ac:dyDescent="0.25">
      <c r="A37" s="14">
        <v>16</v>
      </c>
      <c r="B37" s="14">
        <v>64</v>
      </c>
      <c r="C37" s="14">
        <v>16</v>
      </c>
      <c r="D37" s="69" t="s">
        <v>28</v>
      </c>
      <c r="E37" s="14" t="s">
        <v>29</v>
      </c>
      <c r="F37" s="14">
        <v>0.20773011899999999</v>
      </c>
      <c r="G37" s="14"/>
      <c r="H37" s="14" t="b">
        <v>1</v>
      </c>
      <c r="I37" s="14">
        <v>0.58888447399999999</v>
      </c>
      <c r="J37" s="14">
        <v>0</v>
      </c>
      <c r="K37" s="14">
        <v>3.6537668000000002E-2</v>
      </c>
      <c r="L37" s="14">
        <v>0.56497717700000005</v>
      </c>
      <c r="M37" s="46">
        <v>0.20587926100000001</v>
      </c>
      <c r="N37" s="69">
        <v>16</v>
      </c>
      <c r="O37" s="14" t="s">
        <v>29</v>
      </c>
      <c r="P37" s="14" t="s">
        <v>30</v>
      </c>
      <c r="Q37" s="14">
        <v>0.13411287</v>
      </c>
      <c r="R37" s="14" t="b">
        <v>1</v>
      </c>
      <c r="S37" s="14">
        <v>0.49746985599999999</v>
      </c>
      <c r="T37" s="14">
        <v>0</v>
      </c>
      <c r="U37" s="14">
        <v>4.6709817000000001E-2</v>
      </c>
      <c r="V37" s="14">
        <v>0.94131217199999995</v>
      </c>
      <c r="W37" s="46">
        <v>0.26319639900000003</v>
      </c>
      <c r="X37" s="14">
        <v>16</v>
      </c>
      <c r="Y37" s="14" t="s">
        <v>30</v>
      </c>
      <c r="Z37" s="14" t="s">
        <v>31</v>
      </c>
      <c r="AA37" s="14">
        <v>5.2949483999999998E-2</v>
      </c>
      <c r="AB37" s="14" t="b">
        <v>1</v>
      </c>
      <c r="AC37" s="14">
        <v>0.28656475999999997</v>
      </c>
      <c r="AD37" s="14">
        <v>0</v>
      </c>
      <c r="AE37" s="14">
        <v>3.0129553999999999E-2</v>
      </c>
      <c r="AF37" s="14">
        <v>0.823203138</v>
      </c>
      <c r="AG37" s="14">
        <v>0.60718105300000003</v>
      </c>
      <c r="AH37" s="69">
        <v>16</v>
      </c>
      <c r="AI37" s="14" t="s">
        <v>31</v>
      </c>
      <c r="AJ37" s="14" t="s">
        <v>32</v>
      </c>
      <c r="AK37" s="14">
        <v>0.14875187200000001</v>
      </c>
      <c r="AL37" s="14" t="b">
        <v>1</v>
      </c>
      <c r="AM37" s="14">
        <v>0.345972944</v>
      </c>
      <c r="AN37" s="14">
        <v>0</v>
      </c>
      <c r="AO37" s="14">
        <v>4.2724379999999999E-3</v>
      </c>
      <c r="AP37" s="14">
        <v>0.170597255</v>
      </c>
      <c r="AQ37" s="46">
        <v>0.11673204500000001</v>
      </c>
      <c r="AR37" s="14">
        <v>16</v>
      </c>
      <c r="AS37" s="14" t="s">
        <v>32</v>
      </c>
      <c r="AT37" s="14" t="s">
        <v>33</v>
      </c>
      <c r="AU37" s="14">
        <v>1.5363997810000001</v>
      </c>
      <c r="AV37" s="14" t="b">
        <v>0</v>
      </c>
      <c r="AW37" s="14">
        <v>1.7861005480000001</v>
      </c>
      <c r="AX37" s="14">
        <v>1.286699013</v>
      </c>
      <c r="AY37" s="14">
        <v>0</v>
      </c>
      <c r="AZ37" s="14">
        <v>0</v>
      </c>
      <c r="BA37" s="46">
        <v>0</v>
      </c>
      <c r="BB37" s="69">
        <v>16</v>
      </c>
      <c r="BC37" s="14" t="s">
        <v>33</v>
      </c>
      <c r="BD37" s="14" t="s">
        <v>34</v>
      </c>
      <c r="BE37" s="14">
        <v>6.5025862549999998</v>
      </c>
      <c r="BF37" s="14" t="b">
        <v>0</v>
      </c>
      <c r="BG37" s="14">
        <v>7.3494590740000003</v>
      </c>
      <c r="BH37" s="14">
        <v>5.655713435</v>
      </c>
      <c r="BI37" s="14">
        <v>0</v>
      </c>
      <c r="BJ37" s="14">
        <v>0</v>
      </c>
      <c r="BK37" s="46">
        <v>0</v>
      </c>
      <c r="BL37" s="14">
        <v>16</v>
      </c>
      <c r="BM37" s="14" t="s">
        <v>34</v>
      </c>
      <c r="BN37" s="14" t="s">
        <v>35</v>
      </c>
      <c r="BO37" s="14">
        <v>0.380892546</v>
      </c>
      <c r="BP37" s="14" t="b">
        <v>1</v>
      </c>
      <c r="BQ37" s="14">
        <v>1.5336770049999999</v>
      </c>
      <c r="BR37" s="14">
        <v>0</v>
      </c>
      <c r="BS37" s="14">
        <v>0.57151796899999996</v>
      </c>
      <c r="BT37" s="14">
        <v>0.83656084500000005</v>
      </c>
      <c r="BU37" s="46">
        <v>0.38605900199999998</v>
      </c>
      <c r="BV37" s="14">
        <v>16</v>
      </c>
      <c r="BW37" s="14" t="s">
        <v>35</v>
      </c>
      <c r="BX37" s="14" t="s">
        <v>36</v>
      </c>
      <c r="BY37" s="14"/>
      <c r="BZ37" s="14" t="b">
        <v>1</v>
      </c>
      <c r="CA37" s="14"/>
      <c r="CB37" s="14"/>
      <c r="CC37" s="14"/>
      <c r="CD37" s="14"/>
      <c r="CE37" s="14"/>
    </row>
    <row r="38" spans="1:83" x14ac:dyDescent="0.25">
      <c r="A38" s="14">
        <v>17</v>
      </c>
      <c r="B38" s="14">
        <v>64</v>
      </c>
      <c r="C38" s="14">
        <v>17</v>
      </c>
      <c r="D38" s="69" t="s">
        <v>28</v>
      </c>
      <c r="E38" s="14" t="s">
        <v>29</v>
      </c>
      <c r="F38" s="14">
        <v>0.100502014</v>
      </c>
      <c r="G38" s="14"/>
      <c r="H38" s="14" t="b">
        <v>0</v>
      </c>
      <c r="I38" s="14">
        <v>0.108786641</v>
      </c>
      <c r="J38" s="14">
        <v>9.2217385999999998E-2</v>
      </c>
      <c r="K38" s="14">
        <v>0</v>
      </c>
      <c r="L38" s="14">
        <v>0</v>
      </c>
      <c r="M38" s="46">
        <v>0</v>
      </c>
      <c r="N38" s="69">
        <v>17</v>
      </c>
      <c r="O38" s="14" t="s">
        <v>29</v>
      </c>
      <c r="P38" s="14" t="s">
        <v>30</v>
      </c>
      <c r="Q38" s="14">
        <v>5.9423913000000002E-2</v>
      </c>
      <c r="R38" s="14" t="b">
        <v>0</v>
      </c>
      <c r="S38" s="14">
        <v>7.1176144999999996E-2</v>
      </c>
      <c r="T38" s="14">
        <v>4.7671682E-2</v>
      </c>
      <c r="U38" s="14">
        <v>0</v>
      </c>
      <c r="V38" s="14">
        <v>0</v>
      </c>
      <c r="W38" s="46">
        <v>0</v>
      </c>
      <c r="X38" s="14">
        <v>17</v>
      </c>
      <c r="Y38" s="14" t="s">
        <v>30</v>
      </c>
      <c r="Z38" s="14" t="s">
        <v>31</v>
      </c>
      <c r="AA38" s="14">
        <v>1.8893094999999999E-2</v>
      </c>
      <c r="AB38" s="14" t="b">
        <v>0</v>
      </c>
      <c r="AC38" s="14">
        <v>5.6127379999999998E-2</v>
      </c>
      <c r="AD38" s="14">
        <v>0</v>
      </c>
      <c r="AE38" s="14">
        <v>0</v>
      </c>
      <c r="AF38" s="14">
        <v>0</v>
      </c>
      <c r="AG38" s="14">
        <v>0</v>
      </c>
      <c r="AH38" s="69">
        <v>17</v>
      </c>
      <c r="AI38" s="14" t="s">
        <v>31</v>
      </c>
      <c r="AJ38" s="14" t="s">
        <v>32</v>
      </c>
      <c r="AK38" s="14">
        <v>3.1530300999999997E-2</v>
      </c>
      <c r="AL38" s="14" t="b">
        <v>0</v>
      </c>
      <c r="AM38" s="14">
        <v>0.14893932200000001</v>
      </c>
      <c r="AN38" s="14">
        <v>0</v>
      </c>
      <c r="AO38" s="14">
        <v>0</v>
      </c>
      <c r="AP38" s="14">
        <v>0</v>
      </c>
      <c r="AQ38" s="46">
        <v>0</v>
      </c>
      <c r="AR38" s="14">
        <v>17</v>
      </c>
      <c r="AS38" s="14" t="s">
        <v>32</v>
      </c>
      <c r="AT38" s="14" t="s">
        <v>33</v>
      </c>
      <c r="AU38" s="14">
        <v>2.3386882000000001E-2</v>
      </c>
      <c r="AV38" s="14" t="b">
        <v>0</v>
      </c>
      <c r="AW38" s="14">
        <v>0.14059096099999999</v>
      </c>
      <c r="AX38" s="14">
        <v>0</v>
      </c>
      <c r="AY38" s="14">
        <v>0</v>
      </c>
      <c r="AZ38" s="14">
        <v>0</v>
      </c>
      <c r="BA38" s="46">
        <v>0</v>
      </c>
      <c r="BB38" s="69">
        <v>17</v>
      </c>
      <c r="BC38" s="14" t="s">
        <v>33</v>
      </c>
      <c r="BD38" s="14" t="s">
        <v>34</v>
      </c>
      <c r="BE38" s="14">
        <v>3.6386685000000002E-2</v>
      </c>
      <c r="BF38" s="14" t="b">
        <v>1</v>
      </c>
      <c r="BG38" s="14">
        <v>0.12954544400000001</v>
      </c>
      <c r="BH38" s="14">
        <v>0</v>
      </c>
      <c r="BI38" s="14">
        <v>2.5913749999999999E-3</v>
      </c>
      <c r="BJ38" s="14">
        <v>0.99651477600000005</v>
      </c>
      <c r="BK38" s="46">
        <v>0.198960936</v>
      </c>
      <c r="BL38" s="14">
        <v>17</v>
      </c>
      <c r="BM38" s="14" t="s">
        <v>34</v>
      </c>
      <c r="BN38" s="14" t="s">
        <v>35</v>
      </c>
      <c r="BO38" s="14">
        <v>2.8473149999999999E-2</v>
      </c>
      <c r="BP38" s="14" t="b">
        <v>1</v>
      </c>
      <c r="BQ38" s="14">
        <v>0.15043197</v>
      </c>
      <c r="BR38" s="14">
        <v>0</v>
      </c>
      <c r="BS38" s="14">
        <v>8.1750250000000007E-3</v>
      </c>
      <c r="BT38" s="14">
        <v>0.78512244200000003</v>
      </c>
      <c r="BU38" s="46">
        <v>0.62766319199999998</v>
      </c>
      <c r="BV38" s="14">
        <v>17</v>
      </c>
      <c r="BW38" s="14" t="s">
        <v>35</v>
      </c>
      <c r="BX38" s="14" t="s">
        <v>36</v>
      </c>
      <c r="BY38" s="14">
        <v>2.5796439040000001</v>
      </c>
      <c r="BZ38" s="14" t="b">
        <v>0</v>
      </c>
      <c r="CA38" s="14">
        <v>5.4565978319999999</v>
      </c>
      <c r="CB38" s="14">
        <v>0</v>
      </c>
      <c r="CC38" s="14">
        <v>0</v>
      </c>
      <c r="CD38" s="14">
        <v>0</v>
      </c>
      <c r="CE38" s="14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 t="b">
        <v>1</v>
      </c>
      <c r="I39" s="14"/>
      <c r="J39" s="14"/>
      <c r="K39" s="14"/>
      <c r="L39" s="14"/>
      <c r="M39" s="46"/>
      <c r="N39" s="69">
        <v>18</v>
      </c>
      <c r="O39" s="14" t="s">
        <v>29</v>
      </c>
      <c r="P39" s="14" t="s">
        <v>30</v>
      </c>
      <c r="Q39" s="14"/>
      <c r="R39" s="14" t="b">
        <v>1</v>
      </c>
      <c r="S39" s="14"/>
      <c r="T39" s="14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 t="b">
        <v>1</v>
      </c>
      <c r="AC39" s="14"/>
      <c r="AD39" s="14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 t="b">
        <v>1</v>
      </c>
      <c r="AM39" s="14"/>
      <c r="AN39" s="14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14"/>
      <c r="AV39" s="14" t="b">
        <v>1</v>
      </c>
      <c r="AW39" s="14"/>
      <c r="AX39" s="14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14"/>
      <c r="BF39" s="14" t="b">
        <v>1</v>
      </c>
      <c r="BG39" s="14"/>
      <c r="BH39" s="14"/>
      <c r="BI39" s="14"/>
      <c r="BJ39" s="14"/>
      <c r="BK39" s="46"/>
      <c r="BL39" s="14">
        <v>18</v>
      </c>
      <c r="BM39" s="14" t="s">
        <v>34</v>
      </c>
      <c r="BN39" s="14" t="s">
        <v>35</v>
      </c>
      <c r="BO39" s="14">
        <v>7.8275345999999996E-2</v>
      </c>
      <c r="BP39" s="14" t="b">
        <v>0</v>
      </c>
      <c r="BQ39" s="14">
        <v>0.119024092</v>
      </c>
      <c r="BR39" s="14">
        <v>3.75266E-2</v>
      </c>
      <c r="BS39" s="14">
        <v>0</v>
      </c>
      <c r="BT39" s="14">
        <v>0</v>
      </c>
      <c r="BU39" s="46">
        <v>0</v>
      </c>
      <c r="BV39" s="14">
        <v>18</v>
      </c>
      <c r="BW39" s="14" t="s">
        <v>35</v>
      </c>
      <c r="BX39" s="14" t="s">
        <v>36</v>
      </c>
      <c r="BY39" s="14">
        <v>6.2091371999999999E-2</v>
      </c>
      <c r="BZ39" s="14" t="b">
        <v>1</v>
      </c>
      <c r="CA39" s="14">
        <v>0.159352148</v>
      </c>
      <c r="CB39" s="14">
        <v>0</v>
      </c>
      <c r="CC39" s="14">
        <v>1.6556889999999999E-3</v>
      </c>
      <c r="CD39" s="14">
        <v>0.49253968199999998</v>
      </c>
      <c r="CE39" s="14">
        <v>0.126485131</v>
      </c>
    </row>
    <row r="40" spans="1:83" x14ac:dyDescent="0.25">
      <c r="A40" s="14">
        <v>19</v>
      </c>
      <c r="B40" s="14">
        <v>64</v>
      </c>
      <c r="C40" s="14">
        <v>19</v>
      </c>
      <c r="D40" s="69" t="s">
        <v>28</v>
      </c>
      <c r="E40" s="14" t="s">
        <v>29</v>
      </c>
      <c r="F40" s="14">
        <v>1.283792104</v>
      </c>
      <c r="G40" s="14"/>
      <c r="H40" s="14" t="b">
        <v>0</v>
      </c>
      <c r="I40" s="14">
        <v>1.8418748570000001</v>
      </c>
      <c r="J40" s="14">
        <v>0.725709351</v>
      </c>
      <c r="K40" s="14">
        <v>0</v>
      </c>
      <c r="L40" s="14">
        <v>0</v>
      </c>
      <c r="M40" s="46">
        <v>0</v>
      </c>
      <c r="N40" s="69">
        <v>19</v>
      </c>
      <c r="O40" s="14" t="s">
        <v>29</v>
      </c>
      <c r="P40" s="14" t="s">
        <v>30</v>
      </c>
      <c r="Q40" s="14">
        <v>4.2585100000000001E-2</v>
      </c>
      <c r="R40" s="14" t="b">
        <v>0</v>
      </c>
      <c r="S40" s="14">
        <v>0.228792997</v>
      </c>
      <c r="T40" s="14">
        <v>0</v>
      </c>
      <c r="U40" s="14">
        <v>0</v>
      </c>
      <c r="V40" s="14">
        <v>0</v>
      </c>
      <c r="W40" s="46">
        <v>0</v>
      </c>
      <c r="X40" s="14">
        <v>19</v>
      </c>
      <c r="Y40" s="14" t="s">
        <v>30</v>
      </c>
      <c r="Z40" s="14" t="s">
        <v>31</v>
      </c>
      <c r="AA40" s="14">
        <v>1.2300909E-2</v>
      </c>
      <c r="AB40" s="14" t="b">
        <v>0</v>
      </c>
      <c r="AC40" s="14">
        <v>0.136902317</v>
      </c>
      <c r="AD40" s="14">
        <v>0</v>
      </c>
      <c r="AE40" s="14">
        <v>0</v>
      </c>
      <c r="AF40" s="14">
        <v>0</v>
      </c>
      <c r="AG40" s="14">
        <v>0</v>
      </c>
      <c r="AH40" s="69">
        <v>19</v>
      </c>
      <c r="AI40" s="14" t="s">
        <v>31</v>
      </c>
      <c r="AJ40" s="14" t="s">
        <v>32</v>
      </c>
      <c r="AK40" s="14">
        <v>6.8012490999999994E-2</v>
      </c>
      <c r="AL40" s="14" t="b">
        <v>1</v>
      </c>
      <c r="AM40" s="14">
        <v>0.14832082799999999</v>
      </c>
      <c r="AN40" s="14">
        <v>0</v>
      </c>
      <c r="AO40" s="14">
        <v>1.3528499999999999E-4</v>
      </c>
      <c r="AP40" s="14">
        <v>0.95907372999999996</v>
      </c>
      <c r="AQ40" s="46">
        <v>7.9479240000000003E-3</v>
      </c>
      <c r="AR40" s="14">
        <v>19</v>
      </c>
      <c r="AS40" s="14" t="s">
        <v>32</v>
      </c>
      <c r="AT40" s="14" t="s">
        <v>33</v>
      </c>
      <c r="AU40" s="14">
        <v>0.47935061000000001</v>
      </c>
      <c r="AV40" s="14" t="b">
        <v>0</v>
      </c>
      <c r="AW40" s="14">
        <v>0.56750124099999999</v>
      </c>
      <c r="AX40" s="14">
        <v>0.391199978</v>
      </c>
      <c r="AY40" s="14">
        <v>0</v>
      </c>
      <c r="AZ40" s="14">
        <v>0</v>
      </c>
      <c r="BA40" s="46">
        <v>0</v>
      </c>
      <c r="BB40" s="69">
        <v>19</v>
      </c>
      <c r="BC40" s="14" t="s">
        <v>33</v>
      </c>
      <c r="BD40" s="14" t="s">
        <v>34</v>
      </c>
      <c r="BE40" s="14">
        <v>1.24566284</v>
      </c>
      <c r="BF40" s="14" t="b">
        <v>0</v>
      </c>
      <c r="BG40" s="14">
        <v>1.8715655499999999</v>
      </c>
      <c r="BH40" s="14">
        <v>0.61976013100000005</v>
      </c>
      <c r="BI40" s="14">
        <v>0</v>
      </c>
      <c r="BJ40" s="14">
        <v>0</v>
      </c>
      <c r="BK40" s="46">
        <v>0</v>
      </c>
      <c r="BL40" s="14">
        <v>19</v>
      </c>
      <c r="BM40" s="14" t="s">
        <v>34</v>
      </c>
      <c r="BN40" s="14" t="s">
        <v>35</v>
      </c>
      <c r="BO40" s="14">
        <v>0.98142077000000005</v>
      </c>
      <c r="BP40" s="14" t="b">
        <v>1</v>
      </c>
      <c r="BQ40" s="14">
        <v>2.0803500179999999</v>
      </c>
      <c r="BR40" s="14">
        <v>0</v>
      </c>
      <c r="BS40" s="14">
        <v>3.9165200999999997E-2</v>
      </c>
      <c r="BT40" s="14">
        <v>4.2056194999999998E-2</v>
      </c>
      <c r="BU40" s="46">
        <v>4.0549389999999998E-2</v>
      </c>
      <c r="BV40" s="14">
        <v>19</v>
      </c>
      <c r="BW40" s="14" t="s">
        <v>35</v>
      </c>
      <c r="BX40" s="14" t="s">
        <v>36</v>
      </c>
      <c r="BY40" s="14">
        <v>6.0339755000000002E-2</v>
      </c>
      <c r="BZ40" s="14" t="b">
        <v>1</v>
      </c>
      <c r="CA40" s="14">
        <v>1.211812959</v>
      </c>
      <c r="CB40" s="14">
        <v>0</v>
      </c>
      <c r="CC40" s="14">
        <v>0.95519962400000002</v>
      </c>
      <c r="CD40" s="14">
        <v>0.988958589</v>
      </c>
      <c r="CE40" s="14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14"/>
      <c r="J41" s="14"/>
      <c r="K41" s="14"/>
      <c r="L41" s="14"/>
      <c r="M41" s="46"/>
      <c r="N41" s="69">
        <v>21</v>
      </c>
      <c r="O41" s="14" t="s">
        <v>29</v>
      </c>
      <c r="P41" s="14" t="s">
        <v>30</v>
      </c>
      <c r="Q41" s="14"/>
      <c r="R41" s="14" t="b">
        <v>1</v>
      </c>
      <c r="S41" s="14"/>
      <c r="T41" s="14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 t="b">
        <v>1</v>
      </c>
      <c r="AC41" s="14"/>
      <c r="AD41" s="14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 t="b">
        <v>1</v>
      </c>
      <c r="AM41" s="14"/>
      <c r="AN41" s="14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14"/>
      <c r="AV41" s="14" t="b">
        <v>1</v>
      </c>
      <c r="AW41" s="14"/>
      <c r="AX41" s="14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14"/>
      <c r="BF41" s="14" t="b">
        <v>1</v>
      </c>
      <c r="BG41" s="14"/>
      <c r="BH41" s="14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14"/>
      <c r="BP41" s="14" t="b">
        <v>1</v>
      </c>
      <c r="BQ41" s="14"/>
      <c r="BR41" s="14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14"/>
      <c r="BZ41" s="14" t="b">
        <v>1</v>
      </c>
      <c r="CA41" s="14"/>
      <c r="CB41" s="14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14"/>
      <c r="J42" s="14"/>
      <c r="K42" s="14"/>
      <c r="L42" s="14"/>
      <c r="M42" s="46"/>
      <c r="N42" s="69">
        <v>23</v>
      </c>
      <c r="O42" s="14" t="s">
        <v>29</v>
      </c>
      <c r="P42" s="14" t="s">
        <v>30</v>
      </c>
      <c r="Q42" s="14"/>
      <c r="R42" s="14" t="b">
        <v>1</v>
      </c>
      <c r="S42" s="14"/>
      <c r="T42" s="14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 t="b">
        <v>1</v>
      </c>
      <c r="AC42" s="14"/>
      <c r="AD42" s="14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 t="b">
        <v>1</v>
      </c>
      <c r="AM42" s="14"/>
      <c r="AN42" s="14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14"/>
      <c r="AV42" s="14" t="b">
        <v>1</v>
      </c>
      <c r="AW42" s="14"/>
      <c r="AX42" s="14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14"/>
      <c r="BF42" s="14" t="b">
        <v>1</v>
      </c>
      <c r="BG42" s="14"/>
      <c r="BH42" s="14"/>
      <c r="BI42" s="14"/>
      <c r="BJ42" s="14"/>
      <c r="BK42" s="46"/>
      <c r="BL42" s="14">
        <v>23</v>
      </c>
      <c r="BM42" s="14" t="s">
        <v>34</v>
      </c>
      <c r="BN42" s="14" t="s">
        <v>35</v>
      </c>
      <c r="BO42" s="14">
        <v>0.116541563</v>
      </c>
      <c r="BP42" s="14" t="b">
        <v>1</v>
      </c>
      <c r="BQ42" s="14">
        <v>0.48645217600000001</v>
      </c>
      <c r="BR42" s="14">
        <v>0</v>
      </c>
      <c r="BS42" s="14">
        <v>6.2524062000000005E-2</v>
      </c>
      <c r="BT42" s="14">
        <v>0.79335214700000001</v>
      </c>
      <c r="BU42" s="46">
        <v>0.444809234</v>
      </c>
      <c r="BV42" s="14">
        <v>23</v>
      </c>
      <c r="BW42" s="14" t="s">
        <v>35</v>
      </c>
      <c r="BX42" s="14" t="s">
        <v>36</v>
      </c>
      <c r="BY42" s="14">
        <v>1.0205089000000001E-2</v>
      </c>
      <c r="BZ42" s="14" t="b">
        <v>0</v>
      </c>
      <c r="CA42" s="14">
        <v>0.3303952</v>
      </c>
      <c r="CB42" s="14">
        <v>0</v>
      </c>
      <c r="CC42" s="14">
        <v>0</v>
      </c>
      <c r="CD42" s="14">
        <v>0</v>
      </c>
      <c r="CE42" s="14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/>
      <c r="K43" s="14"/>
      <c r="L43" s="14"/>
      <c r="M43" s="46"/>
      <c r="N43" s="69">
        <v>24</v>
      </c>
      <c r="O43" s="14" t="s">
        <v>29</v>
      </c>
      <c r="P43" s="14" t="s">
        <v>30</v>
      </c>
      <c r="Q43" s="14"/>
      <c r="R43" s="14" t="b">
        <v>1</v>
      </c>
      <c r="S43" s="14"/>
      <c r="T43" s="14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 t="b">
        <v>1</v>
      </c>
      <c r="AC43" s="14"/>
      <c r="AD43" s="14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 t="b">
        <v>1</v>
      </c>
      <c r="AM43" s="14"/>
      <c r="AN43" s="14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14"/>
      <c r="AV43" s="14" t="b">
        <v>1</v>
      </c>
      <c r="AW43" s="14"/>
      <c r="AX43" s="14"/>
      <c r="AY43" s="14"/>
      <c r="AZ43" s="14"/>
      <c r="BA43" s="46"/>
      <c r="BB43" s="69">
        <v>24</v>
      </c>
      <c r="BC43" s="14" t="s">
        <v>33</v>
      </c>
      <c r="BD43" s="14" t="s">
        <v>34</v>
      </c>
      <c r="BE43" s="14">
        <v>1.6094493459999999</v>
      </c>
      <c r="BF43" s="14" t="b">
        <v>0</v>
      </c>
      <c r="BG43" s="14">
        <v>1.9288914589999999</v>
      </c>
      <c r="BH43" s="14">
        <v>1.2900072339999999</v>
      </c>
      <c r="BI43" s="14">
        <v>0</v>
      </c>
      <c r="BJ43" s="14">
        <v>0</v>
      </c>
      <c r="BK43" s="46">
        <v>0</v>
      </c>
      <c r="BL43" s="14">
        <v>24</v>
      </c>
      <c r="BM43" s="14" t="s">
        <v>34</v>
      </c>
      <c r="BN43" s="14" t="s">
        <v>35</v>
      </c>
      <c r="BO43" s="14">
        <v>0.10067383000000001</v>
      </c>
      <c r="BP43" s="14" t="b">
        <v>0</v>
      </c>
      <c r="BQ43" s="14">
        <v>0.56840865600000001</v>
      </c>
      <c r="BR43" s="14">
        <v>0</v>
      </c>
      <c r="BS43" s="14">
        <v>0</v>
      </c>
      <c r="BT43" s="14">
        <v>0</v>
      </c>
      <c r="BU43" s="46">
        <v>0</v>
      </c>
      <c r="BV43" s="14">
        <v>24</v>
      </c>
      <c r="BW43" s="14" t="s">
        <v>35</v>
      </c>
      <c r="BX43" s="14" t="s">
        <v>36</v>
      </c>
      <c r="BY43" s="14">
        <v>7.1671543000000004E-2</v>
      </c>
      <c r="BZ43" s="14" t="b">
        <v>0</v>
      </c>
      <c r="CA43" s="14">
        <v>0.53431066599999999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25</v>
      </c>
      <c r="B44" s="14">
        <v>64</v>
      </c>
      <c r="C44" s="14">
        <v>25</v>
      </c>
      <c r="D44" s="69" t="s">
        <v>28</v>
      </c>
      <c r="E44" s="14" t="s">
        <v>29</v>
      </c>
      <c r="F44" s="14">
        <v>0.23972760400000001</v>
      </c>
      <c r="G44" s="14"/>
      <c r="H44" s="14" t="b">
        <v>0</v>
      </c>
      <c r="I44" s="14">
        <v>0.73490580000000005</v>
      </c>
      <c r="J44" s="14">
        <v>0</v>
      </c>
      <c r="K44" s="14">
        <v>0</v>
      </c>
      <c r="L44" s="14">
        <v>0</v>
      </c>
      <c r="M44" s="46">
        <v>0</v>
      </c>
      <c r="N44" s="69">
        <v>25</v>
      </c>
      <c r="O44" s="14" t="s">
        <v>29</v>
      </c>
      <c r="P44" s="14" t="s">
        <v>30</v>
      </c>
      <c r="Q44" s="14">
        <v>2.2398702309999998</v>
      </c>
      <c r="R44" s="14" t="b">
        <v>0</v>
      </c>
      <c r="S44" s="14">
        <v>2.3674921260000001</v>
      </c>
      <c r="T44" s="14">
        <v>2.1122483359999999</v>
      </c>
      <c r="U44" s="14">
        <v>0</v>
      </c>
      <c r="V44" s="14">
        <v>0</v>
      </c>
      <c r="W44" s="46">
        <v>0</v>
      </c>
      <c r="X44" s="14">
        <v>25</v>
      </c>
      <c r="Y44" s="14" t="s">
        <v>30</v>
      </c>
      <c r="Z44" s="14" t="s">
        <v>31</v>
      </c>
      <c r="AA44" s="14">
        <v>0.88410764100000006</v>
      </c>
      <c r="AB44" s="14" t="b">
        <v>0</v>
      </c>
      <c r="AC44" s="14">
        <v>1.2295616869999999</v>
      </c>
      <c r="AD44" s="14">
        <v>0.53865359499999999</v>
      </c>
      <c r="AE44" s="14">
        <v>0</v>
      </c>
      <c r="AF44" s="14">
        <v>0</v>
      </c>
      <c r="AG44" s="14">
        <v>0</v>
      </c>
      <c r="AH44" s="69">
        <v>25</v>
      </c>
      <c r="AI44" s="14" t="s">
        <v>31</v>
      </c>
      <c r="AJ44" s="14" t="s">
        <v>32</v>
      </c>
      <c r="AK44" s="14">
        <v>0.38831118799999997</v>
      </c>
      <c r="AL44" s="14" t="b">
        <v>0</v>
      </c>
      <c r="AM44" s="14">
        <v>0.74475607399999999</v>
      </c>
      <c r="AN44" s="14">
        <v>3.1866301999999999E-2</v>
      </c>
      <c r="AO44" s="14">
        <v>0</v>
      </c>
      <c r="AP44" s="14">
        <v>0</v>
      </c>
      <c r="AQ44" s="46">
        <v>0</v>
      </c>
      <c r="AR44" s="14">
        <v>25</v>
      </c>
      <c r="AS44" s="14" t="s">
        <v>32</v>
      </c>
      <c r="AT44" s="14" t="s">
        <v>33</v>
      </c>
      <c r="AU44" s="14">
        <v>1.5189461280000001</v>
      </c>
      <c r="AV44" s="14" t="b">
        <v>0</v>
      </c>
      <c r="AW44" s="14">
        <v>1.609315678</v>
      </c>
      <c r="AX44" s="14">
        <v>1.428576579</v>
      </c>
      <c r="AY44" s="14">
        <v>0</v>
      </c>
      <c r="AZ44" s="14">
        <v>0</v>
      </c>
      <c r="BA44" s="46">
        <v>0</v>
      </c>
      <c r="BB44" s="69">
        <v>25</v>
      </c>
      <c r="BC44" s="14" t="s">
        <v>33</v>
      </c>
      <c r="BD44" s="14" t="s">
        <v>34</v>
      </c>
      <c r="BE44" s="14">
        <v>1.7397500029999999</v>
      </c>
      <c r="BF44" s="14" t="b">
        <v>0</v>
      </c>
      <c r="BG44" s="14">
        <v>1.837737073</v>
      </c>
      <c r="BH44" s="14">
        <v>1.6417629330000001</v>
      </c>
      <c r="BI44" s="14">
        <v>0</v>
      </c>
      <c r="BJ44" s="14">
        <v>0</v>
      </c>
      <c r="BK44" s="46">
        <v>0</v>
      </c>
      <c r="BL44" s="14">
        <v>25</v>
      </c>
      <c r="BM44" s="14" t="s">
        <v>34</v>
      </c>
      <c r="BN44" s="14" t="s">
        <v>35</v>
      </c>
      <c r="BO44" s="14">
        <v>4.6643197999999997E-2</v>
      </c>
      <c r="BP44" s="14" t="b">
        <v>1</v>
      </c>
      <c r="BQ44" s="14">
        <v>0.14501612799999999</v>
      </c>
      <c r="BR44" s="14">
        <v>0</v>
      </c>
      <c r="BS44" s="14">
        <v>3.1404039999999999E-3</v>
      </c>
      <c r="BT44" s="14">
        <v>0.52688872499999995</v>
      </c>
      <c r="BU44" s="46">
        <v>0.33267692599999998</v>
      </c>
      <c r="BV44" s="14">
        <v>25</v>
      </c>
      <c r="BW44" s="14" t="s">
        <v>35</v>
      </c>
      <c r="BX44" s="14" t="s">
        <v>36</v>
      </c>
      <c r="BY44" s="14"/>
      <c r="BZ44" s="14" t="b">
        <v>1</v>
      </c>
      <c r="CA44" s="14"/>
      <c r="CB44" s="14"/>
      <c r="CC44" s="14"/>
      <c r="CD44" s="14"/>
      <c r="CE44" s="14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14"/>
      <c r="J45" s="14"/>
      <c r="K45" s="14"/>
      <c r="L45" s="14"/>
      <c r="M45" s="46"/>
      <c r="N45" s="69">
        <v>28</v>
      </c>
      <c r="O45" s="14" t="s">
        <v>29</v>
      </c>
      <c r="P45" s="14" t="s">
        <v>30</v>
      </c>
      <c r="Q45" s="14"/>
      <c r="R45" s="14" t="b">
        <v>1</v>
      </c>
      <c r="S45" s="14"/>
      <c r="T45" s="14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 t="b">
        <v>1</v>
      </c>
      <c r="AC45" s="14"/>
      <c r="AD45" s="14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 t="b">
        <v>1</v>
      </c>
      <c r="AM45" s="14"/>
      <c r="AN45" s="14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14"/>
      <c r="AV45" s="14" t="b">
        <v>1</v>
      </c>
      <c r="AW45" s="14"/>
      <c r="AX45" s="14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14"/>
      <c r="BF45" s="14" t="b">
        <v>1</v>
      </c>
      <c r="BG45" s="14"/>
      <c r="BH45" s="14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14"/>
      <c r="BP45" s="14" t="b">
        <v>1</v>
      </c>
      <c r="BQ45" s="14"/>
      <c r="BR45" s="14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14"/>
      <c r="BZ45" s="14" t="b">
        <v>1</v>
      </c>
      <c r="CA45" s="14"/>
      <c r="CB45" s="14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4">
        <v>2.6818659000000002E-2</v>
      </c>
      <c r="G46" s="14"/>
      <c r="H46" s="14" t="b">
        <v>1</v>
      </c>
      <c r="I46" s="14">
        <v>6.0088879999999997E-2</v>
      </c>
      <c r="J46" s="14">
        <v>0</v>
      </c>
      <c r="K46" s="15">
        <v>8.4699999999999999E-5</v>
      </c>
      <c r="L46" s="14">
        <v>0.143565205</v>
      </c>
      <c r="M46" s="46">
        <v>7.0460896999999995E-2</v>
      </c>
      <c r="N46" s="69">
        <v>29</v>
      </c>
      <c r="O46" s="14" t="s">
        <v>29</v>
      </c>
      <c r="P46" s="14" t="s">
        <v>30</v>
      </c>
      <c r="Q46" s="14">
        <v>9.7592552999999999E-2</v>
      </c>
      <c r="R46" s="14" t="b">
        <v>0</v>
      </c>
      <c r="S46" s="14">
        <v>0.14452282299999999</v>
      </c>
      <c r="T46" s="14">
        <v>5.0662284000000002E-2</v>
      </c>
      <c r="U46" s="14">
        <v>0</v>
      </c>
      <c r="V46" s="14">
        <v>0</v>
      </c>
      <c r="W46" s="46">
        <v>0</v>
      </c>
      <c r="X46" s="14">
        <v>29</v>
      </c>
      <c r="Y46" s="14" t="s">
        <v>30</v>
      </c>
      <c r="Z46" s="14" t="s">
        <v>31</v>
      </c>
      <c r="AA46" s="14">
        <v>3.167801E-2</v>
      </c>
      <c r="AB46" s="14" t="b">
        <v>0</v>
      </c>
      <c r="AC46" s="14">
        <v>0.12727270700000001</v>
      </c>
      <c r="AD46" s="14">
        <v>0</v>
      </c>
      <c r="AE46" s="14">
        <v>0</v>
      </c>
      <c r="AF46" s="14">
        <v>0</v>
      </c>
      <c r="AG46" s="14">
        <v>0</v>
      </c>
      <c r="AH46" s="69">
        <v>29</v>
      </c>
      <c r="AI46" s="14" t="s">
        <v>31</v>
      </c>
      <c r="AJ46" s="14" t="s">
        <v>32</v>
      </c>
      <c r="AK46" s="14">
        <v>5.8393332999999999E-2</v>
      </c>
      <c r="AL46" s="14" t="b">
        <v>1</v>
      </c>
      <c r="AM46" s="14">
        <v>0.158255637</v>
      </c>
      <c r="AN46" s="14">
        <v>0</v>
      </c>
      <c r="AO46" s="14">
        <v>2.0339690000000001E-3</v>
      </c>
      <c r="AP46" s="14">
        <v>0.64698615400000004</v>
      </c>
      <c r="AQ46" s="46">
        <v>0.13907887999999999</v>
      </c>
      <c r="AR46" s="14">
        <v>29</v>
      </c>
      <c r="AS46" s="14" t="s">
        <v>32</v>
      </c>
      <c r="AT46" s="14" t="s">
        <v>33</v>
      </c>
      <c r="AU46" s="14">
        <v>0.101367923</v>
      </c>
      <c r="AV46" s="14" t="b">
        <v>0</v>
      </c>
      <c r="AW46" s="14">
        <v>0.19529095099999999</v>
      </c>
      <c r="AX46" s="14">
        <v>7.444895E-3</v>
      </c>
      <c r="AY46" s="14">
        <v>0</v>
      </c>
      <c r="AZ46" s="14">
        <v>0</v>
      </c>
      <c r="BA46" s="46">
        <v>0</v>
      </c>
      <c r="BB46" s="69">
        <v>29</v>
      </c>
      <c r="BC46" s="14" t="s">
        <v>33</v>
      </c>
      <c r="BD46" s="14" t="s">
        <v>34</v>
      </c>
      <c r="BE46" s="14"/>
      <c r="BF46" s="14" t="b">
        <v>1</v>
      </c>
      <c r="BG46" s="14"/>
      <c r="BH46" s="14"/>
      <c r="BI46" s="14"/>
      <c r="BJ46" s="14"/>
      <c r="BK46" s="46"/>
      <c r="BL46" s="14">
        <v>29</v>
      </c>
      <c r="BM46" s="14" t="s">
        <v>34</v>
      </c>
      <c r="BN46" s="14" t="s">
        <v>35</v>
      </c>
      <c r="BO46" s="14"/>
      <c r="BP46" s="14" t="b">
        <v>1</v>
      </c>
      <c r="BQ46" s="14"/>
      <c r="BR46" s="14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14"/>
      <c r="BZ46" s="14" t="b">
        <v>1</v>
      </c>
      <c r="CA46" s="14"/>
      <c r="CB46" s="14"/>
      <c r="CC46" s="14"/>
      <c r="CD46" s="14"/>
      <c r="CE46" s="14"/>
    </row>
    <row r="47" spans="1:83" x14ac:dyDescent="0.25">
      <c r="A47" s="14">
        <v>30</v>
      </c>
      <c r="B47" s="14">
        <v>64</v>
      </c>
      <c r="C47" s="14">
        <v>30</v>
      </c>
      <c r="D47" s="69" t="s">
        <v>28</v>
      </c>
      <c r="E47" s="14" t="s">
        <v>29</v>
      </c>
      <c r="F47" s="14">
        <v>0.122593298</v>
      </c>
      <c r="G47" s="14"/>
      <c r="H47" s="14" t="b">
        <v>1</v>
      </c>
      <c r="I47" s="14">
        <v>0.41080510599999998</v>
      </c>
      <c r="J47" s="14">
        <v>0</v>
      </c>
      <c r="K47" s="14">
        <v>3.0993236E-2</v>
      </c>
      <c r="L47" s="14">
        <v>0.49039912800000002</v>
      </c>
      <c r="M47" s="46">
        <v>0.460439975</v>
      </c>
      <c r="N47" s="69">
        <v>30</v>
      </c>
      <c r="O47" s="14" t="s">
        <v>29</v>
      </c>
      <c r="P47" s="14" t="s">
        <v>30</v>
      </c>
      <c r="Q47" s="14">
        <v>2.2759013530000001</v>
      </c>
      <c r="R47" s="14" t="b">
        <v>0</v>
      </c>
      <c r="S47" s="14">
        <v>2.5135499139999999</v>
      </c>
      <c r="T47" s="14">
        <v>2.0382527910000001</v>
      </c>
      <c r="U47" s="14">
        <v>0</v>
      </c>
      <c r="V47" s="14">
        <v>0</v>
      </c>
      <c r="W47" s="46">
        <v>0</v>
      </c>
      <c r="X47" s="14">
        <v>30</v>
      </c>
      <c r="Y47" s="14" t="s">
        <v>30</v>
      </c>
      <c r="Z47" s="14" t="s">
        <v>31</v>
      </c>
      <c r="AA47" s="14">
        <v>2.2735219579999999</v>
      </c>
      <c r="AB47" s="14" t="b">
        <v>0</v>
      </c>
      <c r="AC47" s="14">
        <v>2.4434759640000001</v>
      </c>
      <c r="AD47" s="14">
        <v>2.1035679520000001</v>
      </c>
      <c r="AE47" s="14">
        <v>0</v>
      </c>
      <c r="AF47" s="14">
        <v>0</v>
      </c>
      <c r="AG47" s="14">
        <v>0</v>
      </c>
      <c r="AH47" s="69">
        <v>30</v>
      </c>
      <c r="AI47" s="14" t="s">
        <v>31</v>
      </c>
      <c r="AJ47" s="14" t="s">
        <v>32</v>
      </c>
      <c r="AK47" s="14">
        <v>2.5949781000000002E-2</v>
      </c>
      <c r="AL47" s="14" t="b">
        <v>0</v>
      </c>
      <c r="AM47" s="14">
        <v>0.117467538</v>
      </c>
      <c r="AN47" s="14">
        <v>0</v>
      </c>
      <c r="AO47" s="14">
        <v>0</v>
      </c>
      <c r="AP47" s="14">
        <v>0</v>
      </c>
      <c r="AQ47" s="46">
        <v>0</v>
      </c>
      <c r="AR47" s="14">
        <v>30</v>
      </c>
      <c r="AS47" s="14" t="s">
        <v>32</v>
      </c>
      <c r="AT47" s="14" t="s">
        <v>33</v>
      </c>
      <c r="AU47" s="14">
        <v>2.562589268</v>
      </c>
      <c r="AV47" s="14" t="b">
        <v>0</v>
      </c>
      <c r="AW47" s="14">
        <v>2.8040259340000002</v>
      </c>
      <c r="AX47" s="14">
        <v>2.3211526020000002</v>
      </c>
      <c r="AY47" s="14">
        <v>0</v>
      </c>
      <c r="AZ47" s="14">
        <v>0</v>
      </c>
      <c r="BA47" s="46">
        <v>0</v>
      </c>
      <c r="BB47" s="69">
        <v>30</v>
      </c>
      <c r="BC47" s="14" t="s">
        <v>33</v>
      </c>
      <c r="BD47" s="14" t="s">
        <v>34</v>
      </c>
      <c r="BE47" s="14">
        <v>2.1634103640000002</v>
      </c>
      <c r="BF47" s="14" t="b">
        <v>0</v>
      </c>
      <c r="BG47" s="14">
        <v>2.4196004869999999</v>
      </c>
      <c r="BH47" s="14">
        <v>1.907220242</v>
      </c>
      <c r="BI47" s="14">
        <v>0</v>
      </c>
      <c r="BJ47" s="14">
        <v>0</v>
      </c>
      <c r="BK47" s="46">
        <v>0</v>
      </c>
      <c r="BL47" s="14">
        <v>30</v>
      </c>
      <c r="BM47" s="14" t="s">
        <v>34</v>
      </c>
      <c r="BN47" s="14" t="s">
        <v>35</v>
      </c>
      <c r="BO47" s="14">
        <v>1.1043381E-2</v>
      </c>
      <c r="BP47" s="14" t="b">
        <v>0</v>
      </c>
      <c r="BQ47" s="14">
        <v>9.3277135999999997E-2</v>
      </c>
      <c r="BR47" s="14">
        <v>0</v>
      </c>
      <c r="BS47" s="14">
        <v>0</v>
      </c>
      <c r="BT47" s="14">
        <v>0</v>
      </c>
      <c r="BU47" s="46">
        <v>0</v>
      </c>
      <c r="BV47" s="14">
        <v>30</v>
      </c>
      <c r="BW47" s="14" t="s">
        <v>35</v>
      </c>
      <c r="BX47" s="14" t="s">
        <v>36</v>
      </c>
      <c r="BY47" s="14">
        <v>1.1418776E-2</v>
      </c>
      <c r="BZ47" s="14" t="b">
        <v>0</v>
      </c>
      <c r="CA47" s="14">
        <v>9.6852819000000007E-2</v>
      </c>
      <c r="CB47" s="14">
        <v>0</v>
      </c>
      <c r="CC47" s="14">
        <v>0</v>
      </c>
      <c r="CD47" s="14">
        <v>0</v>
      </c>
      <c r="CE47" s="14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14"/>
      <c r="J48" s="14"/>
      <c r="K48" s="14"/>
      <c r="L48" s="14"/>
      <c r="M48" s="46"/>
      <c r="N48" s="69">
        <v>31</v>
      </c>
      <c r="O48" s="14" t="s">
        <v>29</v>
      </c>
      <c r="P48" s="14" t="s">
        <v>30</v>
      </c>
      <c r="Q48" s="14"/>
      <c r="R48" s="14" t="b">
        <v>1</v>
      </c>
      <c r="S48" s="14"/>
      <c r="T48" s="14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 t="b">
        <v>1</v>
      </c>
      <c r="AC48" s="14"/>
      <c r="AD48" s="14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 t="b">
        <v>1</v>
      </c>
      <c r="AM48" s="14"/>
      <c r="AN48" s="14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14"/>
      <c r="AV48" s="14" t="b">
        <v>1</v>
      </c>
      <c r="AW48" s="14"/>
      <c r="AX48" s="14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14"/>
      <c r="BF48" s="14" t="b">
        <v>1</v>
      </c>
      <c r="BG48" s="14"/>
      <c r="BH48" s="14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14"/>
      <c r="BP48" s="14" t="b">
        <v>1</v>
      </c>
      <c r="BQ48" s="14"/>
      <c r="BR48" s="14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14"/>
      <c r="BZ48" s="14" t="b">
        <v>1</v>
      </c>
      <c r="CA48" s="14"/>
      <c r="CB48" s="14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/>
      <c r="K49" s="14"/>
      <c r="L49" s="14"/>
      <c r="M49" s="46"/>
      <c r="N49" s="69">
        <v>36</v>
      </c>
      <c r="O49" s="14" t="s">
        <v>29</v>
      </c>
      <c r="P49" s="14" t="s">
        <v>30</v>
      </c>
      <c r="Q49" s="14"/>
      <c r="R49" s="14" t="b">
        <v>1</v>
      </c>
      <c r="S49" s="14"/>
      <c r="T49" s="14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 t="b">
        <v>1</v>
      </c>
      <c r="AC49" s="14"/>
      <c r="AD49" s="14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 t="b">
        <v>1</v>
      </c>
      <c r="AM49" s="14"/>
      <c r="AN49" s="14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14"/>
      <c r="AV49" s="14" t="b">
        <v>1</v>
      </c>
      <c r="AW49" s="14"/>
      <c r="AX49" s="14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14"/>
      <c r="BF49" s="14" t="b">
        <v>1</v>
      </c>
      <c r="BG49" s="14"/>
      <c r="BH49" s="14"/>
      <c r="BI49" s="14"/>
      <c r="BJ49" s="14"/>
      <c r="BK49" s="46"/>
      <c r="BL49" s="14">
        <v>36</v>
      </c>
      <c r="BM49" s="14" t="s">
        <v>34</v>
      </c>
      <c r="BN49" s="14" t="s">
        <v>35</v>
      </c>
      <c r="BO49" s="14">
        <v>3.8427582000000002E-2</v>
      </c>
      <c r="BP49" s="14" t="b">
        <v>0</v>
      </c>
      <c r="BQ49" s="14">
        <v>0.19199460700000001</v>
      </c>
      <c r="BR49" s="14">
        <v>0</v>
      </c>
      <c r="BS49" s="14">
        <v>0</v>
      </c>
      <c r="BT49" s="14">
        <v>0</v>
      </c>
      <c r="BU49" s="46">
        <v>0</v>
      </c>
      <c r="BV49" s="14">
        <v>36</v>
      </c>
      <c r="BW49" s="14" t="s">
        <v>35</v>
      </c>
      <c r="BX49" s="14" t="s">
        <v>36</v>
      </c>
      <c r="BY49" s="14"/>
      <c r="BZ49" s="14" t="b">
        <v>1</v>
      </c>
      <c r="CA49" s="14"/>
      <c r="CB49" s="14"/>
      <c r="CC49" s="14"/>
      <c r="CD49" s="14"/>
      <c r="CE49" s="14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14"/>
      <c r="J50" s="14"/>
      <c r="K50" s="14"/>
      <c r="L50" s="14"/>
      <c r="M50" s="46"/>
      <c r="N50" s="69">
        <v>37</v>
      </c>
      <c r="O50" s="14" t="s">
        <v>29</v>
      </c>
      <c r="P50" s="14" t="s">
        <v>30</v>
      </c>
      <c r="Q50" s="14"/>
      <c r="R50" s="14" t="b">
        <v>1</v>
      </c>
      <c r="S50" s="14"/>
      <c r="T50" s="14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 t="b">
        <v>1</v>
      </c>
      <c r="AC50" s="14"/>
      <c r="AD50" s="14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 t="b">
        <v>1</v>
      </c>
      <c r="AM50" s="14"/>
      <c r="AN50" s="14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14"/>
      <c r="AV50" s="14" t="b">
        <v>1</v>
      </c>
      <c r="AW50" s="14"/>
      <c r="AX50" s="14"/>
      <c r="AY50" s="14"/>
      <c r="AZ50" s="14"/>
      <c r="BA50" s="46"/>
      <c r="BB50" s="69">
        <v>37</v>
      </c>
      <c r="BC50" s="14" t="s">
        <v>33</v>
      </c>
      <c r="BD50" s="14" t="s">
        <v>34</v>
      </c>
      <c r="BE50" s="14">
        <v>19.214268149999999</v>
      </c>
      <c r="BF50" s="14" t="b">
        <v>0</v>
      </c>
      <c r="BG50" s="14">
        <v>20.261377209999999</v>
      </c>
      <c r="BH50" s="14">
        <v>18.167159099999999</v>
      </c>
      <c r="BI50" s="14">
        <v>0</v>
      </c>
      <c r="BJ50" s="14">
        <v>0</v>
      </c>
      <c r="BK50" s="46">
        <v>0</v>
      </c>
      <c r="BL50" s="14">
        <v>37</v>
      </c>
      <c r="BM50" s="14" t="s">
        <v>34</v>
      </c>
      <c r="BN50" s="14" t="s">
        <v>35</v>
      </c>
      <c r="BO50" s="14">
        <v>0.10023391099999999</v>
      </c>
      <c r="BP50" s="14" t="b">
        <v>1</v>
      </c>
      <c r="BQ50" s="14">
        <v>1.150052692</v>
      </c>
      <c r="BR50" s="14">
        <v>0</v>
      </c>
      <c r="BS50" s="14">
        <v>0.73673412000000005</v>
      </c>
      <c r="BT50" s="14">
        <v>0.97889585800000001</v>
      </c>
      <c r="BU50" s="46">
        <v>0.74682667300000005</v>
      </c>
      <c r="BV50" s="14">
        <v>37</v>
      </c>
      <c r="BW50" s="14" t="s">
        <v>35</v>
      </c>
      <c r="BX50" s="14" t="s">
        <v>36</v>
      </c>
      <c r="BY50" s="14">
        <v>2.2699500000000001E-2</v>
      </c>
      <c r="BZ50" s="14" t="b">
        <v>0</v>
      </c>
      <c r="CA50" s="14">
        <v>1.0253685260000001</v>
      </c>
      <c r="CB50" s="14">
        <v>0</v>
      </c>
      <c r="CC50" s="14">
        <v>0</v>
      </c>
      <c r="CD50" s="14">
        <v>0</v>
      </c>
      <c r="CE50" s="14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14"/>
      <c r="J51" s="14"/>
      <c r="K51" s="14"/>
      <c r="L51" s="14"/>
      <c r="M51" s="46"/>
      <c r="N51" s="69">
        <v>88</v>
      </c>
      <c r="O51" s="14" t="s">
        <v>29</v>
      </c>
      <c r="P51" s="14" t="s">
        <v>30</v>
      </c>
      <c r="Q51" s="14"/>
      <c r="R51" s="14" t="b">
        <v>1</v>
      </c>
      <c r="S51" s="14"/>
      <c r="T51" s="14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 t="b">
        <v>1</v>
      </c>
      <c r="AC51" s="14"/>
      <c r="AD51" s="14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 t="b">
        <v>1</v>
      </c>
      <c r="AM51" s="14"/>
      <c r="AN51" s="14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14"/>
      <c r="AV51" s="14" t="b">
        <v>1</v>
      </c>
      <c r="AW51" s="14"/>
      <c r="AX51" s="14"/>
      <c r="AY51" s="14"/>
      <c r="AZ51" s="14"/>
      <c r="BA51" s="46"/>
      <c r="BB51" s="69">
        <v>88</v>
      </c>
      <c r="BC51" s="14" t="s">
        <v>33</v>
      </c>
      <c r="BD51" s="14" t="s">
        <v>34</v>
      </c>
      <c r="BE51" s="14">
        <v>1.7138294460000001</v>
      </c>
      <c r="BF51" s="14" t="b">
        <v>0</v>
      </c>
      <c r="BG51" s="14">
        <v>1.9932080759999999</v>
      </c>
      <c r="BH51" s="14">
        <v>1.434450816</v>
      </c>
      <c r="BI51" s="14">
        <v>0</v>
      </c>
      <c r="BJ51" s="14">
        <v>0</v>
      </c>
      <c r="BK51" s="46">
        <v>0</v>
      </c>
      <c r="BL51" s="14">
        <v>88</v>
      </c>
      <c r="BM51" s="14" t="s">
        <v>34</v>
      </c>
      <c r="BN51" s="14" t="s">
        <v>35</v>
      </c>
      <c r="BO51" s="14"/>
      <c r="BP51" s="14" t="b">
        <v>1</v>
      </c>
      <c r="BQ51" s="14"/>
      <c r="BR51" s="14"/>
      <c r="BS51" s="14"/>
      <c r="BT51" s="14"/>
      <c r="BU51" s="46"/>
      <c r="BV51" s="14">
        <v>88</v>
      </c>
      <c r="BW51" s="14" t="s">
        <v>35</v>
      </c>
      <c r="BX51" s="14" t="s">
        <v>36</v>
      </c>
      <c r="BY51" s="14"/>
      <c r="BZ51" s="14" t="b">
        <v>1</v>
      </c>
      <c r="CA51" s="14"/>
      <c r="CB51" s="14"/>
      <c r="CC51" s="14"/>
      <c r="CD51" s="14"/>
      <c r="CE51" s="14"/>
    </row>
    <row r="52" spans="1:83" x14ac:dyDescent="0.25">
      <c r="A52" s="14">
        <v>90</v>
      </c>
      <c r="B52" s="14">
        <v>64</v>
      </c>
      <c r="C52" s="14">
        <v>90</v>
      </c>
      <c r="D52" s="69" t="s">
        <v>28</v>
      </c>
      <c r="E52" s="14" t="s">
        <v>29</v>
      </c>
      <c r="F52" s="14">
        <v>4.2744520000000001E-2</v>
      </c>
      <c r="G52" s="14"/>
      <c r="H52" s="14" t="b">
        <v>1</v>
      </c>
      <c r="I52" s="14">
        <v>0.245114312</v>
      </c>
      <c r="J52" s="14">
        <v>0</v>
      </c>
      <c r="K52" s="14">
        <v>2.2048360999999999E-2</v>
      </c>
      <c r="L52" s="14">
        <v>0.94111307700000002</v>
      </c>
      <c r="M52" s="46">
        <v>0.52144306900000004</v>
      </c>
      <c r="N52" s="69">
        <v>90</v>
      </c>
      <c r="O52" s="14" t="s">
        <v>29</v>
      </c>
      <c r="P52" s="14" t="s">
        <v>30</v>
      </c>
      <c r="Q52" s="14">
        <v>3.8544024000000003E-2</v>
      </c>
      <c r="R52" s="14" t="b">
        <v>1</v>
      </c>
      <c r="S52" s="14">
        <v>0.17502408999999999</v>
      </c>
      <c r="T52" s="14">
        <v>0</v>
      </c>
      <c r="U52" s="14">
        <v>7.8227599999999998E-3</v>
      </c>
      <c r="V52" s="14">
        <v>0.99109861399999999</v>
      </c>
      <c r="W52" s="46">
        <v>0.33390699800000001</v>
      </c>
      <c r="X52" s="14">
        <v>90</v>
      </c>
      <c r="Y52" s="14" t="s">
        <v>30</v>
      </c>
      <c r="Z52" s="14" t="s">
        <v>31</v>
      </c>
      <c r="AA52" s="14">
        <v>5.1840017000000002E-2</v>
      </c>
      <c r="AB52" s="14" t="b">
        <v>0</v>
      </c>
      <c r="AC52" s="14">
        <v>0.20978326899999999</v>
      </c>
      <c r="AD52" s="14">
        <v>0</v>
      </c>
      <c r="AE52" s="14">
        <v>0</v>
      </c>
      <c r="AF52" s="14">
        <v>0</v>
      </c>
      <c r="AG52" s="14">
        <v>0</v>
      </c>
      <c r="AH52" s="69">
        <v>90</v>
      </c>
      <c r="AI52" s="14" t="s">
        <v>31</v>
      </c>
      <c r="AJ52" s="14" t="s">
        <v>32</v>
      </c>
      <c r="AK52" s="14">
        <v>0.14876555299999999</v>
      </c>
      <c r="AL52" s="14" t="b">
        <v>1</v>
      </c>
      <c r="AM52" s="14">
        <v>0.39129299200000001</v>
      </c>
      <c r="AN52" s="14">
        <v>0</v>
      </c>
      <c r="AO52" s="14">
        <v>1.2391337000000001E-2</v>
      </c>
      <c r="AP52" s="14">
        <v>0.33929426699999998</v>
      </c>
      <c r="AQ52" s="46">
        <v>0.217359994</v>
      </c>
      <c r="AR52" s="14">
        <v>90</v>
      </c>
      <c r="AS52" s="14" t="s">
        <v>32</v>
      </c>
      <c r="AT52" s="14" t="s">
        <v>33</v>
      </c>
      <c r="AU52" s="14">
        <v>0.138130632</v>
      </c>
      <c r="AV52" s="14" t="b">
        <v>1</v>
      </c>
      <c r="AW52" s="14">
        <v>0.37049248600000001</v>
      </c>
      <c r="AX52" s="14">
        <v>0</v>
      </c>
      <c r="AY52" s="14">
        <v>1.2023946000000001E-2</v>
      </c>
      <c r="AZ52" s="14">
        <v>0.40134787799999999</v>
      </c>
      <c r="BA52" s="46">
        <v>0.21091548199999999</v>
      </c>
      <c r="BB52" s="69">
        <v>90</v>
      </c>
      <c r="BC52" s="14" t="s">
        <v>33</v>
      </c>
      <c r="BD52" s="14" t="s">
        <v>34</v>
      </c>
      <c r="BE52" s="14">
        <v>3.1520395999999999E-2</v>
      </c>
      <c r="BF52" s="14" t="b">
        <v>1</v>
      </c>
      <c r="BG52" s="14">
        <v>0.22287368499999999</v>
      </c>
      <c r="BH52" s="14">
        <v>0</v>
      </c>
      <c r="BI52" s="14">
        <v>2.2718181E-2</v>
      </c>
      <c r="BJ52" s="14">
        <v>0.82365818300000004</v>
      </c>
      <c r="BK52" s="46">
        <v>0.75831130000000002</v>
      </c>
      <c r="BL52" s="14">
        <v>90</v>
      </c>
      <c r="BM52" s="14" t="s">
        <v>34</v>
      </c>
      <c r="BN52" s="14" t="s">
        <v>35</v>
      </c>
      <c r="BO52" s="14">
        <v>0.17558448900000001</v>
      </c>
      <c r="BP52" s="14" t="b">
        <v>1</v>
      </c>
      <c r="BQ52" s="14">
        <v>0.38384698299999997</v>
      </c>
      <c r="BR52" s="14">
        <v>0</v>
      </c>
      <c r="BS52" s="14">
        <v>2.4656510000000001E-3</v>
      </c>
      <c r="BT52" s="14">
        <v>8.9393305000000006E-2</v>
      </c>
      <c r="BU52" s="46">
        <v>5.9799105999999998E-2</v>
      </c>
      <c r="BV52" s="14">
        <v>90</v>
      </c>
      <c r="BW52" s="14" t="s">
        <v>35</v>
      </c>
      <c r="BX52" s="14" t="s">
        <v>36</v>
      </c>
      <c r="BY52" s="14">
        <v>8.0115289999999999E-3</v>
      </c>
      <c r="BZ52" s="14" t="b">
        <v>0</v>
      </c>
      <c r="CA52" s="14">
        <v>0.22646919200000001</v>
      </c>
      <c r="CB52" s="14">
        <v>0</v>
      </c>
      <c r="CC52" s="14">
        <v>0</v>
      </c>
      <c r="CD52" s="14">
        <v>0</v>
      </c>
      <c r="CE52" s="14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14"/>
      <c r="J53" s="14"/>
      <c r="K53" s="14"/>
      <c r="L53" s="14"/>
      <c r="M53" s="46"/>
      <c r="N53" s="69">
        <v>92</v>
      </c>
      <c r="O53" s="14" t="s">
        <v>29</v>
      </c>
      <c r="P53" s="14" t="s">
        <v>30</v>
      </c>
      <c r="Q53" s="14"/>
      <c r="R53" s="14" t="b">
        <v>1</v>
      </c>
      <c r="S53" s="14"/>
      <c r="T53" s="14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 t="b">
        <v>1</v>
      </c>
      <c r="AC53" s="14"/>
      <c r="AD53" s="14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 t="b">
        <v>1</v>
      </c>
      <c r="AM53" s="14"/>
      <c r="AN53" s="14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14"/>
      <c r="AV53" s="14" t="b">
        <v>1</v>
      </c>
      <c r="AW53" s="14"/>
      <c r="AX53" s="14"/>
      <c r="AY53" s="14"/>
      <c r="AZ53" s="14"/>
      <c r="BA53" s="46"/>
      <c r="BB53" s="69">
        <v>92</v>
      </c>
      <c r="BC53" s="14" t="s">
        <v>33</v>
      </c>
      <c r="BD53" s="14" t="s">
        <v>34</v>
      </c>
      <c r="BE53" s="14">
        <v>1.781846598</v>
      </c>
      <c r="BF53" s="14" t="b">
        <v>0</v>
      </c>
      <c r="BG53" s="14">
        <v>1.8613061710000001</v>
      </c>
      <c r="BH53" s="14">
        <v>1.7023870240000001</v>
      </c>
      <c r="BI53" s="14">
        <v>0</v>
      </c>
      <c r="BJ53" s="14">
        <v>0</v>
      </c>
      <c r="BK53" s="46">
        <v>0</v>
      </c>
      <c r="BL53" s="14">
        <v>92</v>
      </c>
      <c r="BM53" s="14" t="s">
        <v>34</v>
      </c>
      <c r="BN53" s="14" t="s">
        <v>35</v>
      </c>
      <c r="BO53" s="14">
        <v>3.0133650000000001E-2</v>
      </c>
      <c r="BP53" s="14" t="b">
        <v>0</v>
      </c>
      <c r="BQ53" s="14">
        <v>0.14967770899999999</v>
      </c>
      <c r="BR53" s="14">
        <v>0</v>
      </c>
      <c r="BS53" s="14">
        <v>0</v>
      </c>
      <c r="BT53" s="14">
        <v>0</v>
      </c>
      <c r="BU53" s="46">
        <v>0</v>
      </c>
      <c r="BV53" s="14">
        <v>92</v>
      </c>
      <c r="BW53" s="14" t="s">
        <v>35</v>
      </c>
      <c r="BX53" s="14" t="s">
        <v>36</v>
      </c>
      <c r="BY53" s="14">
        <v>0.23672388</v>
      </c>
      <c r="BZ53" s="14" t="b">
        <v>1</v>
      </c>
      <c r="CA53" s="14">
        <v>0.589153912</v>
      </c>
      <c r="CB53" s="14">
        <v>0</v>
      </c>
      <c r="CC53" s="14">
        <v>1.7584870999999998E-2</v>
      </c>
      <c r="CD53" s="14">
        <v>0.54975457900000002</v>
      </c>
      <c r="CE53" s="14">
        <v>8.8475888000000003E-2</v>
      </c>
    </row>
    <row r="54" spans="1:83" x14ac:dyDescent="0.25">
      <c r="A54" s="14">
        <v>94</v>
      </c>
      <c r="B54" s="14">
        <v>64</v>
      </c>
      <c r="C54" s="14">
        <v>94</v>
      </c>
      <c r="D54" s="69" t="s">
        <v>28</v>
      </c>
      <c r="E54" s="14" t="s">
        <v>29</v>
      </c>
      <c r="F54" s="14">
        <v>0.173753398</v>
      </c>
      <c r="G54" s="14"/>
      <c r="H54" s="14" t="b">
        <v>0</v>
      </c>
      <c r="I54" s="14">
        <v>0.34549456899999997</v>
      </c>
      <c r="J54" s="14">
        <v>2.0122270000000001E-3</v>
      </c>
      <c r="K54" s="14">
        <v>0</v>
      </c>
      <c r="L54" s="14">
        <v>0</v>
      </c>
      <c r="M54" s="46">
        <v>0</v>
      </c>
      <c r="N54" s="69">
        <v>94</v>
      </c>
      <c r="O54" s="14" t="s">
        <v>29</v>
      </c>
      <c r="P54" s="14" t="s">
        <v>30</v>
      </c>
      <c r="Q54" s="14">
        <v>0.12896569399999999</v>
      </c>
      <c r="R54" s="14" t="b">
        <v>1</v>
      </c>
      <c r="S54" s="14">
        <v>0.27089146400000003</v>
      </c>
      <c r="T54" s="14">
        <v>0</v>
      </c>
      <c r="U54" s="14">
        <v>5.1367999999999997E-4</v>
      </c>
      <c r="V54" s="14">
        <v>4.0416290000000001E-2</v>
      </c>
      <c r="W54" s="46">
        <v>2.6655845000000001E-2</v>
      </c>
      <c r="X54" s="14">
        <v>94</v>
      </c>
      <c r="Y54" s="14" t="s">
        <v>30</v>
      </c>
      <c r="Z54" s="14" t="s">
        <v>31</v>
      </c>
      <c r="AA54" s="14">
        <v>0.125349403</v>
      </c>
      <c r="AB54" s="14" t="b">
        <v>0</v>
      </c>
      <c r="AC54" s="14">
        <v>0.24261902399999999</v>
      </c>
      <c r="AD54" s="14">
        <v>8.0797830000000001E-3</v>
      </c>
      <c r="AE54" s="14">
        <v>0</v>
      </c>
      <c r="AF54" s="14">
        <v>0</v>
      </c>
      <c r="AG54" s="14">
        <v>0</v>
      </c>
      <c r="AH54" s="69">
        <v>94</v>
      </c>
      <c r="AI54" s="14" t="s">
        <v>31</v>
      </c>
      <c r="AJ54" s="14" t="s">
        <v>32</v>
      </c>
      <c r="AK54" s="14">
        <v>0.139631967</v>
      </c>
      <c r="AL54" s="14" t="b">
        <v>0</v>
      </c>
      <c r="AM54" s="14">
        <v>0.27171864099999998</v>
      </c>
      <c r="AN54" s="14">
        <v>7.5452929999999998E-3</v>
      </c>
      <c r="AO54" s="14">
        <v>0</v>
      </c>
      <c r="AP54" s="14">
        <v>0</v>
      </c>
      <c r="AQ54" s="46">
        <v>0</v>
      </c>
      <c r="AR54" s="14">
        <v>94</v>
      </c>
      <c r="AS54" s="14" t="s">
        <v>32</v>
      </c>
      <c r="AT54" s="14" t="s">
        <v>33</v>
      </c>
      <c r="AU54" s="14"/>
      <c r="AV54" s="14" t="b">
        <v>1</v>
      </c>
      <c r="AW54" s="14"/>
      <c r="AX54" s="14"/>
      <c r="AY54" s="14"/>
      <c r="AZ54" s="14"/>
      <c r="BA54" s="46"/>
      <c r="BB54" s="69">
        <v>94</v>
      </c>
      <c r="BC54" s="14" t="s">
        <v>33</v>
      </c>
      <c r="BD54" s="14" t="s">
        <v>34</v>
      </c>
      <c r="BE54" s="14"/>
      <c r="BF54" s="14" t="b">
        <v>1</v>
      </c>
      <c r="BG54" s="14"/>
      <c r="BH54" s="14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14"/>
      <c r="BP54" s="14" t="b">
        <v>1</v>
      </c>
      <c r="BQ54" s="14"/>
      <c r="BR54" s="14"/>
      <c r="BS54" s="14"/>
      <c r="BT54" s="14"/>
      <c r="BU54" s="46"/>
      <c r="BV54" s="14">
        <v>94</v>
      </c>
      <c r="BW54" s="14" t="s">
        <v>35</v>
      </c>
      <c r="BX54" s="14" t="s">
        <v>36</v>
      </c>
      <c r="BY54" s="14">
        <v>9.1445822999999996E-2</v>
      </c>
      <c r="BZ54" s="14" t="b">
        <v>0</v>
      </c>
      <c r="CA54" s="14">
        <v>0.26541738100000001</v>
      </c>
      <c r="CB54" s="14">
        <v>0</v>
      </c>
      <c r="CC54" s="14">
        <v>0</v>
      </c>
      <c r="CD54" s="14">
        <v>0</v>
      </c>
      <c r="CE54" s="14">
        <v>0</v>
      </c>
    </row>
    <row r="55" spans="1:83" x14ac:dyDescent="0.25">
      <c r="A55" s="14">
        <v>95</v>
      </c>
      <c r="B55" s="14">
        <v>64</v>
      </c>
      <c r="C55" s="14">
        <v>95</v>
      </c>
      <c r="D55" s="69" t="s">
        <v>28</v>
      </c>
      <c r="E55" s="14" t="s">
        <v>29</v>
      </c>
      <c r="F55" s="14">
        <v>9.1832438000000002E-2</v>
      </c>
      <c r="G55" s="14"/>
      <c r="H55" s="14" t="b">
        <v>1</v>
      </c>
      <c r="I55" s="14">
        <v>0.23268708599999999</v>
      </c>
      <c r="J55" s="14">
        <v>0</v>
      </c>
      <c r="K55" s="14">
        <v>3.5468829999999998E-3</v>
      </c>
      <c r="L55" s="14">
        <v>0.32943241299999998</v>
      </c>
      <c r="M55" s="46">
        <v>0.166632849</v>
      </c>
      <c r="N55" s="69">
        <v>95</v>
      </c>
      <c r="O55" s="14" t="s">
        <v>29</v>
      </c>
      <c r="P55" s="14" t="s">
        <v>30</v>
      </c>
      <c r="Q55" s="14">
        <v>7.0994837000000005E-2</v>
      </c>
      <c r="R55" s="14" t="b">
        <v>1</v>
      </c>
      <c r="S55" s="14">
        <v>0.20316203699999999</v>
      </c>
      <c r="T55" s="14">
        <v>0</v>
      </c>
      <c r="U55" s="14">
        <v>4.4998540000000002E-3</v>
      </c>
      <c r="V55" s="14">
        <v>0.57629417599999999</v>
      </c>
      <c r="W55" s="46">
        <v>0.211403538</v>
      </c>
      <c r="X55" s="14">
        <v>95</v>
      </c>
      <c r="Y55" s="14" t="s">
        <v>30</v>
      </c>
      <c r="Z55" s="14" t="s">
        <v>31</v>
      </c>
      <c r="AA55" s="14">
        <v>1.9472698E-2</v>
      </c>
      <c r="AB55" s="14" t="b">
        <v>1</v>
      </c>
      <c r="AC55" s="14">
        <v>0.120233991</v>
      </c>
      <c r="AD55" s="14">
        <v>0</v>
      </c>
      <c r="AE55" s="14">
        <v>6.0221570000000002E-3</v>
      </c>
      <c r="AF55" s="14">
        <v>0.771254789</v>
      </c>
      <c r="AG55" s="14">
        <v>0.73968441699999998</v>
      </c>
      <c r="AH55" s="69">
        <v>95</v>
      </c>
      <c r="AI55" s="14" t="s">
        <v>31</v>
      </c>
      <c r="AJ55" s="14" t="s">
        <v>32</v>
      </c>
      <c r="AK55" s="14">
        <v>3.6507183999999998E-2</v>
      </c>
      <c r="AL55" s="14" t="b">
        <v>1</v>
      </c>
      <c r="AM55" s="14">
        <v>0.16744078500000001</v>
      </c>
      <c r="AN55" s="14">
        <v>0</v>
      </c>
      <c r="AO55" s="14">
        <v>7.7408039999999996E-3</v>
      </c>
      <c r="AP55" s="14">
        <v>0.95078085899999998</v>
      </c>
      <c r="AQ55" s="46">
        <v>0.384740517</v>
      </c>
      <c r="AR55" s="14">
        <v>95</v>
      </c>
      <c r="AS55" s="14" t="s">
        <v>32</v>
      </c>
      <c r="AT55" s="14" t="s">
        <v>33</v>
      </c>
      <c r="AU55" s="14"/>
      <c r="AV55" s="14" t="b">
        <v>1</v>
      </c>
      <c r="AW55" s="14"/>
      <c r="AX55" s="14"/>
      <c r="AY55" s="14"/>
      <c r="AZ55" s="14"/>
      <c r="BA55" s="46"/>
      <c r="BB55" s="69">
        <v>95</v>
      </c>
      <c r="BC55" s="14" t="s">
        <v>33</v>
      </c>
      <c r="BD55" s="14" t="s">
        <v>34</v>
      </c>
      <c r="BE55" s="14"/>
      <c r="BF55" s="14" t="b">
        <v>1</v>
      </c>
      <c r="BG55" s="14"/>
      <c r="BH55" s="14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14"/>
      <c r="BP55" s="14" t="b">
        <v>1</v>
      </c>
      <c r="BQ55" s="14"/>
      <c r="BR55" s="14"/>
      <c r="BS55" s="14"/>
      <c r="BT55" s="14"/>
      <c r="BU55" s="46"/>
      <c r="BV55" s="14">
        <v>95</v>
      </c>
      <c r="BW55" s="14" t="s">
        <v>35</v>
      </c>
      <c r="BX55" s="14" t="s">
        <v>36</v>
      </c>
      <c r="BY55" s="14">
        <v>0.140187067</v>
      </c>
      <c r="BZ55" s="14" t="b">
        <v>1</v>
      </c>
      <c r="CA55" s="14">
        <v>0.295184118</v>
      </c>
      <c r="CB55" s="14">
        <v>0</v>
      </c>
      <c r="CC55" s="14">
        <v>6.4630600000000003E-4</v>
      </c>
      <c r="CD55" s="14">
        <v>5.1717397999999998E-2</v>
      </c>
      <c r="CE55" s="14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14"/>
      <c r="J56" s="14"/>
      <c r="K56" s="14"/>
      <c r="L56" s="14"/>
      <c r="M56" s="46"/>
      <c r="N56" s="69">
        <v>96</v>
      </c>
      <c r="O56" s="14" t="s">
        <v>29</v>
      </c>
      <c r="P56" s="14" t="s">
        <v>30</v>
      </c>
      <c r="Q56" s="14"/>
      <c r="R56" s="14" t="b">
        <v>1</v>
      </c>
      <c r="S56" s="14"/>
      <c r="T56" s="14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 t="b">
        <v>1</v>
      </c>
      <c r="AC56" s="14"/>
      <c r="AD56" s="14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 t="b">
        <v>1</v>
      </c>
      <c r="AM56" s="14"/>
      <c r="AN56" s="14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14"/>
      <c r="AV56" s="14" t="b">
        <v>1</v>
      </c>
      <c r="AW56" s="14"/>
      <c r="AX56" s="14"/>
      <c r="AY56" s="14"/>
      <c r="AZ56" s="14"/>
      <c r="BA56" s="46"/>
      <c r="BB56" s="69">
        <v>96</v>
      </c>
      <c r="BC56" s="14" t="s">
        <v>33</v>
      </c>
      <c r="BD56" s="14" t="s">
        <v>34</v>
      </c>
      <c r="BE56" s="14">
        <v>1.736935978</v>
      </c>
      <c r="BF56" s="14" t="b">
        <v>0</v>
      </c>
      <c r="BG56" s="14">
        <v>1.8582134450000001</v>
      </c>
      <c r="BH56" s="14">
        <v>1.6156585109999999</v>
      </c>
      <c r="BI56" s="14">
        <v>0</v>
      </c>
      <c r="BJ56" s="14">
        <v>0</v>
      </c>
      <c r="BK56" s="46">
        <v>0</v>
      </c>
      <c r="BL56" s="14">
        <v>96</v>
      </c>
      <c r="BM56" s="14" t="s">
        <v>34</v>
      </c>
      <c r="BN56" s="14" t="s">
        <v>35</v>
      </c>
      <c r="BO56" s="14">
        <v>4.4721647000000003E-2</v>
      </c>
      <c r="BP56" s="14" t="b">
        <v>0</v>
      </c>
      <c r="BQ56" s="14">
        <v>0.34794081100000002</v>
      </c>
      <c r="BR56" s="14">
        <v>0</v>
      </c>
      <c r="BS56" s="14">
        <v>0</v>
      </c>
      <c r="BT56" s="14">
        <v>0</v>
      </c>
      <c r="BU56" s="46">
        <v>0</v>
      </c>
      <c r="BV56" s="14">
        <v>96</v>
      </c>
      <c r="BW56" s="14" t="s">
        <v>35</v>
      </c>
      <c r="BX56" s="14" t="s">
        <v>36</v>
      </c>
      <c r="BY56" s="14">
        <v>0.108607633</v>
      </c>
      <c r="BZ56" s="14" t="b">
        <v>0</v>
      </c>
      <c r="CA56" s="14">
        <v>0.344184877</v>
      </c>
      <c r="CB56" s="14">
        <v>0</v>
      </c>
      <c r="CC56" s="14">
        <v>0</v>
      </c>
      <c r="CD56" s="14">
        <v>0</v>
      </c>
      <c r="CE56" s="14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14"/>
      <c r="J57" s="14"/>
      <c r="K57" s="14"/>
      <c r="L57" s="14"/>
      <c r="M57" s="46"/>
      <c r="N57" s="69">
        <v>97</v>
      </c>
      <c r="O57" s="14" t="s">
        <v>29</v>
      </c>
      <c r="P57" s="14" t="s">
        <v>30</v>
      </c>
      <c r="Q57" s="14"/>
      <c r="R57" s="14" t="b">
        <v>1</v>
      </c>
      <c r="S57" s="14"/>
      <c r="T57" s="14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 t="b">
        <v>1</v>
      </c>
      <c r="AC57" s="14"/>
      <c r="AD57" s="14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 t="b">
        <v>1</v>
      </c>
      <c r="AM57" s="14"/>
      <c r="AN57" s="14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14"/>
      <c r="AV57" s="14" t="b">
        <v>1</v>
      </c>
      <c r="AW57" s="14"/>
      <c r="AX57" s="14"/>
      <c r="AY57" s="14"/>
      <c r="AZ57" s="14"/>
      <c r="BA57" s="46"/>
      <c r="BB57" s="69">
        <v>97</v>
      </c>
      <c r="BC57" s="14" t="s">
        <v>33</v>
      </c>
      <c r="BD57" s="14" t="s">
        <v>34</v>
      </c>
      <c r="BE57" s="14">
        <v>18.61088857</v>
      </c>
      <c r="BF57" s="14" t="b">
        <v>0</v>
      </c>
      <c r="BG57" s="14">
        <v>19.209813759999999</v>
      </c>
      <c r="BH57" s="14">
        <v>18.01196337</v>
      </c>
      <c r="BI57" s="14">
        <v>0</v>
      </c>
      <c r="BJ57" s="14">
        <v>0</v>
      </c>
      <c r="BK57" s="46">
        <v>0</v>
      </c>
      <c r="BL57" s="14">
        <v>97</v>
      </c>
      <c r="BM57" s="14" t="s">
        <v>34</v>
      </c>
      <c r="BN57" s="14" t="s">
        <v>35</v>
      </c>
      <c r="BO57" s="14">
        <v>9.6719960999999993E-2</v>
      </c>
      <c r="BP57" s="14" t="b">
        <v>1</v>
      </c>
      <c r="BQ57" s="14">
        <v>1.112962053</v>
      </c>
      <c r="BR57" s="14">
        <v>0</v>
      </c>
      <c r="BS57" s="14">
        <v>0.67843039500000002</v>
      </c>
      <c r="BT57" s="14">
        <v>0.99327143500000004</v>
      </c>
      <c r="BU57" s="46">
        <v>0.71397785899999999</v>
      </c>
      <c r="BV57" s="14">
        <v>97</v>
      </c>
      <c r="BW57" s="14" t="s">
        <v>35</v>
      </c>
      <c r="BX57" s="14" t="s">
        <v>36</v>
      </c>
      <c r="BY57" s="14">
        <v>7.3873519999999998E-2</v>
      </c>
      <c r="BZ57" s="14" t="b">
        <v>0</v>
      </c>
      <c r="CA57" s="14">
        <v>1.1312644199999999</v>
      </c>
      <c r="CB57" s="14">
        <v>0</v>
      </c>
      <c r="CC57" s="14">
        <v>0</v>
      </c>
      <c r="CD57" s="14">
        <v>0</v>
      </c>
      <c r="CE57" s="14">
        <v>0</v>
      </c>
    </row>
    <row r="58" spans="1:83" x14ac:dyDescent="0.25">
      <c r="A58" s="14">
        <v>99</v>
      </c>
      <c r="B58" s="14">
        <v>64</v>
      </c>
      <c r="C58" s="14">
        <v>99</v>
      </c>
      <c r="D58" s="69" t="s">
        <v>28</v>
      </c>
      <c r="E58" s="14" t="s">
        <v>29</v>
      </c>
      <c r="F58" s="14">
        <v>5.5738681999999998E-2</v>
      </c>
      <c r="G58" s="14"/>
      <c r="H58" s="14" t="b">
        <v>1</v>
      </c>
      <c r="I58" s="14">
        <v>0.29244737900000001</v>
      </c>
      <c r="J58" s="14">
        <v>0</v>
      </c>
      <c r="K58" s="14">
        <v>2.907769E-2</v>
      </c>
      <c r="L58" s="14">
        <v>0.91459642799999996</v>
      </c>
      <c r="M58" s="46">
        <v>0.49960510800000002</v>
      </c>
      <c r="N58" s="69">
        <v>99</v>
      </c>
      <c r="O58" s="14" t="s">
        <v>29</v>
      </c>
      <c r="P58" s="14" t="s">
        <v>30</v>
      </c>
      <c r="Q58" s="14">
        <v>1.792687031</v>
      </c>
      <c r="R58" s="14" t="b">
        <v>0</v>
      </c>
      <c r="S58" s="14">
        <v>2.0623942949999998</v>
      </c>
      <c r="T58" s="14">
        <v>1.522979767</v>
      </c>
      <c r="U58" s="14">
        <v>0</v>
      </c>
      <c r="V58" s="14">
        <v>0</v>
      </c>
      <c r="W58" s="46">
        <v>0</v>
      </c>
      <c r="X58" s="14">
        <v>99</v>
      </c>
      <c r="Y58" s="14" t="s">
        <v>30</v>
      </c>
      <c r="Z58" s="14" t="s">
        <v>31</v>
      </c>
      <c r="AA58" s="14">
        <v>1.3344341790000001</v>
      </c>
      <c r="AB58" s="14" t="b">
        <v>0</v>
      </c>
      <c r="AC58" s="14">
        <v>1.647083997</v>
      </c>
      <c r="AD58" s="14">
        <v>1.021784362</v>
      </c>
      <c r="AE58" s="14">
        <v>0</v>
      </c>
      <c r="AF58" s="14">
        <v>0</v>
      </c>
      <c r="AG58" s="14">
        <v>0</v>
      </c>
      <c r="AH58" s="69">
        <v>99</v>
      </c>
      <c r="AI58" s="14" t="s">
        <v>31</v>
      </c>
      <c r="AJ58" s="14" t="s">
        <v>32</v>
      </c>
      <c r="AK58" s="14">
        <v>0.36419838900000001</v>
      </c>
      <c r="AL58" s="14" t="b">
        <v>0</v>
      </c>
      <c r="AM58" s="14">
        <v>0.56667476699999997</v>
      </c>
      <c r="AN58" s="14">
        <v>0.161722012</v>
      </c>
      <c r="AO58" s="14">
        <v>0</v>
      </c>
      <c r="AP58" s="14">
        <v>0</v>
      </c>
      <c r="AQ58" s="46">
        <v>0</v>
      </c>
      <c r="AR58" s="14">
        <v>99</v>
      </c>
      <c r="AS58" s="14" t="s">
        <v>32</v>
      </c>
      <c r="AT58" s="14" t="s">
        <v>33</v>
      </c>
      <c r="AU58" s="14">
        <v>1.88069939</v>
      </c>
      <c r="AV58" s="14" t="b">
        <v>0</v>
      </c>
      <c r="AW58" s="14">
        <v>2.2399779639999999</v>
      </c>
      <c r="AX58" s="14">
        <v>1.5214208170000001</v>
      </c>
      <c r="AY58" s="14">
        <v>0</v>
      </c>
      <c r="AZ58" s="14">
        <v>0</v>
      </c>
      <c r="BA58" s="46">
        <v>0</v>
      </c>
      <c r="BB58" s="69">
        <v>99</v>
      </c>
      <c r="BC58" s="14" t="s">
        <v>33</v>
      </c>
      <c r="BD58" s="14" t="s">
        <v>34</v>
      </c>
      <c r="BE58" s="14"/>
      <c r="BF58" s="14" t="b">
        <v>1</v>
      </c>
      <c r="BG58" s="14"/>
      <c r="BH58" s="14"/>
      <c r="BI58" s="14"/>
      <c r="BJ58" s="14"/>
      <c r="BK58" s="46"/>
      <c r="BL58" s="14">
        <v>99</v>
      </c>
      <c r="BM58" s="14" t="s">
        <v>34</v>
      </c>
      <c r="BN58" s="14" t="s">
        <v>35</v>
      </c>
      <c r="BO58" s="14"/>
      <c r="BP58" s="14" t="b">
        <v>1</v>
      </c>
      <c r="BQ58" s="14"/>
      <c r="BR58" s="14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14"/>
      <c r="BZ58" s="14" t="b">
        <v>1</v>
      </c>
      <c r="CA58" s="14"/>
      <c r="CB58" s="14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14"/>
      <c r="J59" s="14"/>
      <c r="K59" s="14"/>
      <c r="L59" s="14"/>
      <c r="M59" s="46"/>
      <c r="N59" s="69">
        <v>101</v>
      </c>
      <c r="O59" s="14" t="s">
        <v>29</v>
      </c>
      <c r="P59" s="14" t="s">
        <v>30</v>
      </c>
      <c r="Q59" s="14"/>
      <c r="R59" s="14" t="b">
        <v>1</v>
      </c>
      <c r="S59" s="14"/>
      <c r="T59" s="14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 t="b">
        <v>1</v>
      </c>
      <c r="AC59" s="14"/>
      <c r="AD59" s="14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 t="b">
        <v>1</v>
      </c>
      <c r="AM59" s="14"/>
      <c r="AN59" s="14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14"/>
      <c r="AV59" s="14" t="b">
        <v>1</v>
      </c>
      <c r="AW59" s="14"/>
      <c r="AX59" s="14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14"/>
      <c r="BF59" s="14" t="b">
        <v>1</v>
      </c>
      <c r="BG59" s="14"/>
      <c r="BH59" s="14"/>
      <c r="BI59" s="14"/>
      <c r="BJ59" s="14"/>
      <c r="BK59" s="46"/>
      <c r="BL59" s="14">
        <v>101</v>
      </c>
      <c r="BM59" s="14" t="s">
        <v>34</v>
      </c>
      <c r="BN59" s="14" t="s">
        <v>35</v>
      </c>
      <c r="BO59" s="14">
        <v>5.4075167E-2</v>
      </c>
      <c r="BP59" s="14" t="b">
        <v>0</v>
      </c>
      <c r="BQ59" s="14">
        <v>8.3393443999999997E-2</v>
      </c>
      <c r="BR59" s="14">
        <v>2.4756889000000001E-2</v>
      </c>
      <c r="BS59" s="14">
        <v>0</v>
      </c>
      <c r="BT59" s="14">
        <v>0</v>
      </c>
      <c r="BU59" s="46">
        <v>0</v>
      </c>
      <c r="BV59" s="14">
        <v>101</v>
      </c>
      <c r="BW59" s="14" t="s">
        <v>35</v>
      </c>
      <c r="BX59" s="14" t="s">
        <v>36</v>
      </c>
      <c r="BY59" s="14">
        <v>2.798032692</v>
      </c>
      <c r="BZ59" s="14" t="b">
        <v>0</v>
      </c>
      <c r="CA59" s="14">
        <v>5.2719836850000004</v>
      </c>
      <c r="CB59" s="14">
        <v>0.32408169999999997</v>
      </c>
      <c r="CC59" s="14">
        <v>0</v>
      </c>
      <c r="CD59" s="14">
        <v>0</v>
      </c>
      <c r="CE59" s="14">
        <v>0</v>
      </c>
    </row>
    <row r="60" spans="1:83" x14ac:dyDescent="0.25">
      <c r="A60" s="14">
        <v>105</v>
      </c>
      <c r="B60" s="14">
        <v>64</v>
      </c>
      <c r="C60" s="14">
        <v>105</v>
      </c>
      <c r="D60" s="69" t="s">
        <v>28</v>
      </c>
      <c r="E60" s="14" t="s">
        <v>29</v>
      </c>
      <c r="F60" s="14">
        <v>2.212234043</v>
      </c>
      <c r="G60" s="14"/>
      <c r="H60" s="14" t="b">
        <v>0</v>
      </c>
      <c r="I60" s="14">
        <v>2.5620545039999998</v>
      </c>
      <c r="J60" s="14">
        <v>1.8624135820000001</v>
      </c>
      <c r="K60" s="14">
        <v>0</v>
      </c>
      <c r="L60" s="14">
        <v>0</v>
      </c>
      <c r="M60" s="46">
        <v>0</v>
      </c>
      <c r="N60" s="69">
        <v>105</v>
      </c>
      <c r="O60" s="14" t="s">
        <v>29</v>
      </c>
      <c r="P60" s="14" t="s">
        <v>30</v>
      </c>
      <c r="Q60" s="14"/>
      <c r="R60" s="14" t="b">
        <v>1</v>
      </c>
      <c r="S60" s="14"/>
      <c r="T60" s="14"/>
      <c r="U60" s="14"/>
      <c r="V60" s="14"/>
      <c r="W60" s="46"/>
      <c r="X60" s="14">
        <v>105</v>
      </c>
      <c r="Y60" s="14" t="s">
        <v>30</v>
      </c>
      <c r="Z60" s="14" t="s">
        <v>31</v>
      </c>
      <c r="AA60" s="14"/>
      <c r="AB60" s="14" t="b">
        <v>1</v>
      </c>
      <c r="AC60" s="14"/>
      <c r="AD60" s="14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 t="b">
        <v>1</v>
      </c>
      <c r="AM60" s="14"/>
      <c r="AN60" s="14"/>
      <c r="AO60" s="14"/>
      <c r="AP60" s="14"/>
      <c r="AQ60" s="46"/>
      <c r="AR60" s="14">
        <v>105</v>
      </c>
      <c r="AS60" s="14" t="s">
        <v>32</v>
      </c>
      <c r="AT60" s="14" t="s">
        <v>33</v>
      </c>
      <c r="AU60" s="14">
        <v>4.5439994999999997E-2</v>
      </c>
      <c r="AV60" s="14" t="b">
        <v>1</v>
      </c>
      <c r="AW60" s="14">
        <v>0.105406075</v>
      </c>
      <c r="AX60" s="14">
        <v>0</v>
      </c>
      <c r="AY60" s="14">
        <v>2.7069399999999998E-4</v>
      </c>
      <c r="AZ60" s="14">
        <v>0.624284493</v>
      </c>
      <c r="BA60" s="46">
        <v>3.7060602999999998E-2</v>
      </c>
      <c r="BB60" s="69">
        <v>105</v>
      </c>
      <c r="BC60" s="14" t="s">
        <v>33</v>
      </c>
      <c r="BD60" s="14" t="s">
        <v>34</v>
      </c>
      <c r="BE60" s="14">
        <v>0.14790215300000001</v>
      </c>
      <c r="BF60" s="14" t="b">
        <v>0</v>
      </c>
      <c r="BG60" s="14">
        <v>0.29430947699999999</v>
      </c>
      <c r="BH60" s="14">
        <v>1.494829E-3</v>
      </c>
      <c r="BI60" s="14">
        <v>0</v>
      </c>
      <c r="BJ60" s="14">
        <v>0</v>
      </c>
      <c r="BK60" s="46">
        <v>0</v>
      </c>
      <c r="BL60" s="14">
        <v>105</v>
      </c>
      <c r="BM60" s="14" t="s">
        <v>34</v>
      </c>
      <c r="BN60" s="14" t="s">
        <v>35</v>
      </c>
      <c r="BO60" s="14">
        <v>3.7509038000000001E-2</v>
      </c>
      <c r="BP60" s="14" t="b">
        <v>0</v>
      </c>
      <c r="BQ60" s="14">
        <v>0.14717744499999999</v>
      </c>
      <c r="BR60" s="14">
        <v>0</v>
      </c>
      <c r="BS60" s="14">
        <v>0</v>
      </c>
      <c r="BT60" s="14">
        <v>0</v>
      </c>
      <c r="BU60" s="46">
        <v>0</v>
      </c>
      <c r="BV60" s="14">
        <v>105</v>
      </c>
      <c r="BW60" s="14" t="s">
        <v>35</v>
      </c>
      <c r="BX60" s="14" t="s">
        <v>36</v>
      </c>
      <c r="BY60" s="14"/>
      <c r="BZ60" s="14" t="b">
        <v>1</v>
      </c>
      <c r="CA60" s="14"/>
      <c r="CB60" s="14"/>
      <c r="CC60" s="14"/>
      <c r="CD60" s="14"/>
      <c r="CE60" s="14"/>
    </row>
    <row r="61" spans="1:83" x14ac:dyDescent="0.25">
      <c r="A61" s="14">
        <v>106</v>
      </c>
      <c r="B61" s="14">
        <v>64</v>
      </c>
      <c r="C61" s="14">
        <v>106</v>
      </c>
      <c r="D61" s="69" t="s">
        <v>28</v>
      </c>
      <c r="E61" s="14" t="s">
        <v>29</v>
      </c>
      <c r="F61" s="14">
        <v>4.6737323999999997E-2</v>
      </c>
      <c r="G61" s="14"/>
      <c r="H61" s="14" t="b">
        <v>1</v>
      </c>
      <c r="I61" s="14">
        <v>0.24704062900000001</v>
      </c>
      <c r="J61" s="14">
        <v>0</v>
      </c>
      <c r="K61" s="14">
        <v>2.2043631000000001E-2</v>
      </c>
      <c r="L61" s="14">
        <v>0.78812964200000002</v>
      </c>
      <c r="M61" s="46">
        <v>0.62510123299999998</v>
      </c>
      <c r="N61" s="69">
        <v>106</v>
      </c>
      <c r="O61" s="14" t="s">
        <v>29</v>
      </c>
      <c r="P61" s="14" t="s">
        <v>30</v>
      </c>
      <c r="Q61" s="14">
        <v>0.16987701299999999</v>
      </c>
      <c r="R61" s="14" t="b">
        <v>1</v>
      </c>
      <c r="S61" s="14">
        <v>0.393039886</v>
      </c>
      <c r="T61" s="14">
        <v>0</v>
      </c>
      <c r="U61" s="14">
        <v>5.2684849999999998E-3</v>
      </c>
      <c r="V61" s="14">
        <v>0.14940082800000001</v>
      </c>
      <c r="W61" s="46">
        <v>0.12205851400000001</v>
      </c>
      <c r="X61" s="14">
        <v>106</v>
      </c>
      <c r="Y61" s="14" t="s">
        <v>30</v>
      </c>
      <c r="Z61" s="14" t="s">
        <v>31</v>
      </c>
      <c r="AA61" s="14">
        <v>0.13539773599999999</v>
      </c>
      <c r="AB61" s="14" t="b">
        <v>1</v>
      </c>
      <c r="AC61" s="14">
        <v>0.383496434</v>
      </c>
      <c r="AD61" s="14">
        <v>0</v>
      </c>
      <c r="AE61" s="14">
        <v>1.6452155E-2</v>
      </c>
      <c r="AF61" s="14">
        <v>0.38115805200000002</v>
      </c>
      <c r="AG61" s="14">
        <v>0.30570539299999999</v>
      </c>
      <c r="AH61" s="69">
        <v>106</v>
      </c>
      <c r="AI61" s="14" t="s">
        <v>31</v>
      </c>
      <c r="AJ61" s="14" t="s">
        <v>32</v>
      </c>
      <c r="AK61" s="14">
        <v>3.8046611000000001E-2</v>
      </c>
      <c r="AL61" s="14" t="b">
        <v>0</v>
      </c>
      <c r="AM61" s="14">
        <v>0.22947682</v>
      </c>
      <c r="AN61" s="14">
        <v>0</v>
      </c>
      <c r="AO61" s="14">
        <v>0</v>
      </c>
      <c r="AP61" s="14">
        <v>0</v>
      </c>
      <c r="AQ61" s="46">
        <v>0</v>
      </c>
      <c r="AR61" s="14">
        <v>106</v>
      </c>
      <c r="AS61" s="14" t="s">
        <v>32</v>
      </c>
      <c r="AT61" s="14" t="s">
        <v>33</v>
      </c>
      <c r="AU61" s="14">
        <v>5.4561854999999999E-2</v>
      </c>
      <c r="AV61" s="14" t="b">
        <v>1</v>
      </c>
      <c r="AW61" s="14">
        <v>0.18434076699999999</v>
      </c>
      <c r="AX61" s="14">
        <v>0</v>
      </c>
      <c r="AY61" s="14">
        <v>6.322991E-3</v>
      </c>
      <c r="AZ61" s="14">
        <v>0.54902441099999999</v>
      </c>
      <c r="BA61" s="46">
        <v>0.419910116</v>
      </c>
      <c r="BB61" s="69">
        <v>106</v>
      </c>
      <c r="BC61" s="14" t="s">
        <v>33</v>
      </c>
      <c r="BD61" s="14" t="s">
        <v>34</v>
      </c>
      <c r="BE61" s="14">
        <v>1.7750633920000001</v>
      </c>
      <c r="BF61" s="14" t="b">
        <v>0</v>
      </c>
      <c r="BG61" s="14">
        <v>2.298784602</v>
      </c>
      <c r="BH61" s="14">
        <v>1.2513421819999999</v>
      </c>
      <c r="BI61" s="14">
        <v>0</v>
      </c>
      <c r="BJ61" s="14">
        <v>0</v>
      </c>
      <c r="BK61" s="46">
        <v>0</v>
      </c>
      <c r="BL61" s="14">
        <v>106</v>
      </c>
      <c r="BM61" s="14" t="s">
        <v>34</v>
      </c>
      <c r="BN61" s="14" t="s">
        <v>35</v>
      </c>
      <c r="BO61" s="14"/>
      <c r="BP61" s="14" t="b">
        <v>1</v>
      </c>
      <c r="BQ61" s="14"/>
      <c r="BR61" s="14"/>
      <c r="BS61" s="14"/>
      <c r="BT61" s="14"/>
      <c r="BU61" s="46"/>
      <c r="BV61" s="14">
        <v>106</v>
      </c>
      <c r="BW61" s="14" t="s">
        <v>35</v>
      </c>
      <c r="BX61" s="14" t="s">
        <v>36</v>
      </c>
      <c r="BY61" s="14"/>
      <c r="BZ61" s="14" t="b">
        <v>1</v>
      </c>
      <c r="CA61" s="14"/>
      <c r="CB61" s="14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14"/>
      <c r="J62" s="14"/>
      <c r="K62" s="14"/>
      <c r="L62" s="14"/>
      <c r="M62" s="46"/>
      <c r="N62" s="69">
        <v>111</v>
      </c>
      <c r="O62" s="14" t="s">
        <v>29</v>
      </c>
      <c r="P62" s="14" t="s">
        <v>30</v>
      </c>
      <c r="Q62" s="14"/>
      <c r="R62" s="14" t="b">
        <v>1</v>
      </c>
      <c r="S62" s="14"/>
      <c r="T62" s="14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 t="b">
        <v>1</v>
      </c>
      <c r="AC62" s="14"/>
      <c r="AD62" s="14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 t="b">
        <v>1</v>
      </c>
      <c r="AM62" s="14"/>
      <c r="AN62" s="14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14"/>
      <c r="AV62" s="14" t="b">
        <v>1</v>
      </c>
      <c r="AW62" s="14"/>
      <c r="AX62" s="14"/>
      <c r="AY62" s="14"/>
      <c r="AZ62" s="14"/>
      <c r="BA62" s="46"/>
      <c r="BB62" s="69">
        <v>111</v>
      </c>
      <c r="BC62" s="14" t="s">
        <v>33</v>
      </c>
      <c r="BD62" s="14" t="s">
        <v>34</v>
      </c>
      <c r="BE62" s="14">
        <v>0.15262342500000001</v>
      </c>
      <c r="BF62" s="14" t="b">
        <v>0</v>
      </c>
      <c r="BG62" s="14">
        <v>0.78259183300000001</v>
      </c>
      <c r="BH62" s="14"/>
      <c r="BI62" s="14">
        <v>0</v>
      </c>
      <c r="BJ62" s="14">
        <v>0</v>
      </c>
      <c r="BK62" s="46">
        <v>0</v>
      </c>
      <c r="BL62" s="14">
        <v>111</v>
      </c>
      <c r="BM62" s="14" t="s">
        <v>34</v>
      </c>
      <c r="BN62" s="14" t="s">
        <v>35</v>
      </c>
      <c r="BO62" s="14">
        <v>0.103868682</v>
      </c>
      <c r="BP62" s="14" t="b">
        <v>0</v>
      </c>
      <c r="BQ62" s="14">
        <v>0.175455896</v>
      </c>
      <c r="BR62" s="14">
        <v>3.2281468000000001E-2</v>
      </c>
      <c r="BS62" s="14">
        <v>0</v>
      </c>
      <c r="BT62" s="14">
        <v>0</v>
      </c>
      <c r="BU62" s="46">
        <v>0</v>
      </c>
      <c r="BV62" s="14">
        <v>111</v>
      </c>
      <c r="BW62" s="14" t="s">
        <v>35</v>
      </c>
      <c r="BX62" s="14" t="s">
        <v>36</v>
      </c>
      <c r="BY62" s="14">
        <v>3.1065257590000002</v>
      </c>
      <c r="BZ62" s="14" t="b">
        <v>0</v>
      </c>
      <c r="CA62" s="14">
        <v>3.9656722539999998</v>
      </c>
      <c r="CB62" s="14">
        <v>2.2473792640000001</v>
      </c>
      <c r="CC62" s="14">
        <v>0</v>
      </c>
      <c r="CD62" s="14">
        <v>0</v>
      </c>
      <c r="CE62" s="14">
        <v>0</v>
      </c>
    </row>
    <row r="63" spans="1:83" x14ac:dyDescent="0.25">
      <c r="A63" s="14">
        <v>112</v>
      </c>
      <c r="B63" s="14">
        <v>64</v>
      </c>
      <c r="C63" s="14">
        <v>112</v>
      </c>
      <c r="D63" s="69" t="s">
        <v>28</v>
      </c>
      <c r="E63" s="14" t="s">
        <v>29</v>
      </c>
      <c r="F63" s="14">
        <v>6.2308533999999999E-2</v>
      </c>
      <c r="G63" s="14"/>
      <c r="H63" s="14" t="b">
        <v>0</v>
      </c>
      <c r="I63" s="14">
        <v>0.48423007800000001</v>
      </c>
      <c r="J63" s="14">
        <v>0</v>
      </c>
      <c r="K63" s="14">
        <v>0</v>
      </c>
      <c r="L63" s="14">
        <v>0</v>
      </c>
      <c r="M63" s="46">
        <v>0</v>
      </c>
      <c r="N63" s="69">
        <v>112</v>
      </c>
      <c r="O63" s="14" t="s">
        <v>29</v>
      </c>
      <c r="P63" s="14" t="s">
        <v>30</v>
      </c>
      <c r="Q63" s="14">
        <v>6.0408120000000003E-2</v>
      </c>
      <c r="R63" s="14" t="b">
        <v>0</v>
      </c>
      <c r="S63" s="14">
        <v>0.47274447200000003</v>
      </c>
      <c r="T63" s="14">
        <v>0</v>
      </c>
      <c r="U63" s="14">
        <v>0</v>
      </c>
      <c r="V63" s="14">
        <v>0</v>
      </c>
      <c r="W63" s="46">
        <v>0</v>
      </c>
      <c r="X63" s="14">
        <v>112</v>
      </c>
      <c r="Y63" s="14" t="s">
        <v>30</v>
      </c>
      <c r="Z63" s="14" t="s">
        <v>31</v>
      </c>
      <c r="AA63" s="14">
        <v>8.2436914E-2</v>
      </c>
      <c r="AB63" s="14" t="b">
        <v>1</v>
      </c>
      <c r="AC63" s="14">
        <v>0.34866812699999999</v>
      </c>
      <c r="AD63" s="14">
        <v>0</v>
      </c>
      <c r="AE63" s="14">
        <v>3.3911993000000001E-2</v>
      </c>
      <c r="AF63" s="14">
        <v>0.67578250699999998</v>
      </c>
      <c r="AG63" s="14">
        <v>0.55195912999999996</v>
      </c>
      <c r="AH63" s="69">
        <v>112</v>
      </c>
      <c r="AI63" s="14" t="s">
        <v>31</v>
      </c>
      <c r="AJ63" s="14" t="s">
        <v>32</v>
      </c>
      <c r="AK63" s="14">
        <v>4.2835610000000003E-2</v>
      </c>
      <c r="AL63" s="14" t="b">
        <v>0</v>
      </c>
      <c r="AM63" s="14">
        <v>0.20589015899999999</v>
      </c>
      <c r="AN63" s="14">
        <v>0</v>
      </c>
      <c r="AO63" s="14">
        <v>0</v>
      </c>
      <c r="AP63" s="14">
        <v>0</v>
      </c>
      <c r="AQ63" s="46">
        <v>0</v>
      </c>
      <c r="AR63" s="14">
        <v>112</v>
      </c>
      <c r="AS63" s="14" t="s">
        <v>32</v>
      </c>
      <c r="AT63" s="14" t="s">
        <v>33</v>
      </c>
      <c r="AU63" s="14">
        <v>5.0413844999999999E-2</v>
      </c>
      <c r="AV63" s="14" t="b">
        <v>0</v>
      </c>
      <c r="AW63" s="14">
        <v>0.19779938599999999</v>
      </c>
      <c r="AX63" s="14">
        <v>0</v>
      </c>
      <c r="AY63" s="14">
        <v>0</v>
      </c>
      <c r="AZ63" s="14">
        <v>0</v>
      </c>
      <c r="BA63" s="46">
        <v>0</v>
      </c>
      <c r="BB63" s="69">
        <v>112</v>
      </c>
      <c r="BC63" s="14" t="s">
        <v>33</v>
      </c>
      <c r="BD63" s="14" t="s">
        <v>34</v>
      </c>
      <c r="BE63" s="14">
        <v>4.3180223660000001</v>
      </c>
      <c r="BF63" s="14" t="b">
        <v>0</v>
      </c>
      <c r="BG63" s="14">
        <v>4.5311058910000002</v>
      </c>
      <c r="BH63" s="14">
        <v>4.10493884</v>
      </c>
      <c r="BI63" s="14">
        <v>0</v>
      </c>
      <c r="BJ63" s="14">
        <v>0</v>
      </c>
      <c r="BK63" s="46">
        <v>0</v>
      </c>
      <c r="BL63" s="14">
        <v>112</v>
      </c>
      <c r="BM63" s="14" t="s">
        <v>34</v>
      </c>
      <c r="BN63" s="14" t="s">
        <v>35</v>
      </c>
      <c r="BO63" s="14">
        <v>0.31748915599999999</v>
      </c>
      <c r="BP63" s="14" t="b">
        <v>0</v>
      </c>
      <c r="BQ63" s="14">
        <v>0.45813599599999999</v>
      </c>
      <c r="BR63" s="14">
        <v>0.176842316</v>
      </c>
      <c r="BS63" s="14">
        <v>0</v>
      </c>
      <c r="BT63" s="14">
        <v>0</v>
      </c>
      <c r="BU63" s="46">
        <v>0</v>
      </c>
      <c r="BV63" s="14">
        <v>112</v>
      </c>
      <c r="BW63" s="14" t="s">
        <v>35</v>
      </c>
      <c r="BX63" s="14" t="s">
        <v>36</v>
      </c>
      <c r="BY63" s="14">
        <v>0.24178633499999999</v>
      </c>
      <c r="BZ63" s="14" t="b">
        <v>0</v>
      </c>
      <c r="CA63" s="14">
        <v>0.30335275499999997</v>
      </c>
      <c r="CB63" s="14">
        <v>0.18021991500000001</v>
      </c>
      <c r="CC63" s="14">
        <v>0</v>
      </c>
      <c r="CD63" s="14">
        <v>0</v>
      </c>
      <c r="CE63" s="14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17"/>
      <c r="J64" s="17"/>
      <c r="K64" s="17"/>
      <c r="L64" s="17"/>
      <c r="M64" s="47"/>
      <c r="N64" s="70">
        <v>115</v>
      </c>
      <c r="O64" s="17" t="s">
        <v>29</v>
      </c>
      <c r="P64" s="17" t="s">
        <v>30</v>
      </c>
      <c r="Q64" s="17"/>
      <c r="R64" s="17" t="b">
        <v>1</v>
      </c>
      <c r="S64" s="17"/>
      <c r="T64" s="1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 t="b">
        <v>1</v>
      </c>
      <c r="AC64" s="17"/>
      <c r="AD64" s="17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 t="b">
        <v>1</v>
      </c>
      <c r="AM64" s="17"/>
      <c r="AN64" s="1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 t="b">
        <v>1</v>
      </c>
      <c r="AW64" s="17"/>
      <c r="AX64" s="1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 t="b">
        <v>1</v>
      </c>
      <c r="BG64" s="17"/>
      <c r="BH64" s="1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17"/>
      <c r="BP64" s="17" t="b">
        <v>1</v>
      </c>
      <c r="BQ64" s="17"/>
      <c r="BR64" s="1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17"/>
      <c r="BZ64" s="17" t="b">
        <v>1</v>
      </c>
      <c r="CA64" s="17"/>
      <c r="CB64" s="1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14"/>
      <c r="J65" s="14"/>
      <c r="K65" s="14"/>
      <c r="L65" s="14"/>
      <c r="M65" s="46"/>
      <c r="N65" s="69"/>
      <c r="O65" s="14"/>
      <c r="P65" s="14"/>
      <c r="Q65" s="14"/>
      <c r="R65" s="14"/>
      <c r="S65" s="14"/>
      <c r="T65" s="14"/>
      <c r="U65" s="14"/>
      <c r="V65" s="14"/>
      <c r="W65" s="46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69"/>
      <c r="AI65" s="14"/>
      <c r="AJ65" s="14"/>
      <c r="AK65" s="14"/>
      <c r="AL65" s="14"/>
      <c r="AM65" s="14"/>
      <c r="AN65" s="14"/>
      <c r="AO65" s="14"/>
      <c r="AP65" s="14"/>
      <c r="AQ65" s="46"/>
      <c r="AR65" s="14"/>
      <c r="AS65" s="14"/>
      <c r="AT65" s="14"/>
      <c r="AU65" s="14"/>
      <c r="AV65" s="14"/>
      <c r="AW65" s="14"/>
      <c r="AX65" s="14"/>
      <c r="AY65" s="14"/>
      <c r="AZ65" s="14"/>
      <c r="BA65" s="46"/>
      <c r="BB65" s="69"/>
      <c r="BC65" s="14"/>
      <c r="BD65" s="14"/>
      <c r="BE65" s="14"/>
      <c r="BF65" s="14"/>
      <c r="BG65" s="14"/>
      <c r="BH65" s="14"/>
      <c r="BI65" s="14"/>
      <c r="BJ65" s="14"/>
      <c r="BK65" s="46"/>
      <c r="BL65" s="14">
        <v>170</v>
      </c>
      <c r="BM65" s="14" t="s">
        <v>34</v>
      </c>
      <c r="BN65" s="14" t="s">
        <v>35</v>
      </c>
      <c r="BO65" s="14">
        <v>9.6798836887441106E-2</v>
      </c>
      <c r="BQ65" s="14">
        <v>0.39828484534032599</v>
      </c>
      <c r="BR65" s="14">
        <v>0</v>
      </c>
      <c r="BS65" s="14"/>
      <c r="BT65" s="14"/>
      <c r="BU65" s="46"/>
      <c r="BV65" s="14">
        <v>170</v>
      </c>
      <c r="BW65" s="14" t="s">
        <v>35</v>
      </c>
      <c r="BX65" s="14" t="s">
        <v>36</v>
      </c>
      <c r="BY65" s="14">
        <v>3.5077745099981801E-2</v>
      </c>
      <c r="CA65" s="14">
        <v>0.35708875919633698</v>
      </c>
      <c r="CB65" s="14">
        <v>0</v>
      </c>
      <c r="CD65" s="14"/>
      <c r="CE65" s="14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94">
        <f>AVERAGE(I33:I65)</f>
        <v>0.61766918160000017</v>
      </c>
      <c r="J66" s="94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94">
        <f>AVERAGE(S33:S65)</f>
        <v>0.71916220671428577</v>
      </c>
      <c r="T66" s="94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94">
        <f>AVERAGE(AC33:AC65)</f>
        <v>0.54597433392857142</v>
      </c>
      <c r="AD66" s="94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94">
        <f>AVERAGE(AM33:AM65)</f>
        <v>0.29850607464285711</v>
      </c>
      <c r="AN66" s="94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94">
        <f>AVERAGE(AW33:AW65)</f>
        <v>0.88444493141666658</v>
      </c>
      <c r="AX66" s="94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94">
        <f>AVERAGE(BG33:BG65)</f>
        <v>4.1273726090588232</v>
      </c>
      <c r="BH66" s="94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94">
        <f>AVERAGE(BQ33:BQ65)</f>
        <v>0.4796059365154694</v>
      </c>
      <c r="BR66" s="94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94">
        <f>AVERAGE(CA33:CA65)</f>
        <v>1.115451211509817</v>
      </c>
      <c r="CB66" s="94">
        <f>AVERAGE(CB33:CB65)</f>
        <v>0.13825323075000001</v>
      </c>
      <c r="CC66" s="94"/>
      <c r="CD66" s="94"/>
      <c r="CE66" s="94"/>
    </row>
    <row r="67" spans="1:83" x14ac:dyDescent="0.25">
      <c r="A67" s="20">
        <v>20</v>
      </c>
      <c r="B67" s="20">
        <v>45</v>
      </c>
      <c r="C67" s="20">
        <v>20</v>
      </c>
      <c r="D67" s="71" t="s">
        <v>28</v>
      </c>
      <c r="E67" s="20" t="s">
        <v>29</v>
      </c>
      <c r="F67" s="20">
        <v>1.1372007900000001</v>
      </c>
      <c r="G67" s="20"/>
      <c r="H67" s="20" t="b">
        <v>0</v>
      </c>
      <c r="I67" s="20">
        <v>1.4324179829999999</v>
      </c>
      <c r="J67" s="20">
        <v>0.841983598</v>
      </c>
      <c r="K67" s="20">
        <v>0</v>
      </c>
      <c r="L67" s="20">
        <v>0</v>
      </c>
      <c r="M67" s="48">
        <v>0</v>
      </c>
      <c r="N67" s="71">
        <v>20</v>
      </c>
      <c r="O67" s="20" t="s">
        <v>29</v>
      </c>
      <c r="P67" s="20" t="s">
        <v>30</v>
      </c>
      <c r="Q67" s="20">
        <v>8.6557913E-2</v>
      </c>
      <c r="R67" s="20" t="b">
        <v>0</v>
      </c>
      <c r="S67" s="20">
        <v>0.170671147</v>
      </c>
      <c r="T67" s="20">
        <v>2.4446789999999999E-3</v>
      </c>
      <c r="U67" s="20">
        <v>0</v>
      </c>
      <c r="V67" s="20">
        <v>0</v>
      </c>
      <c r="W67" s="48">
        <v>0</v>
      </c>
      <c r="X67" s="20">
        <v>20</v>
      </c>
      <c r="Y67" s="20" t="s">
        <v>30</v>
      </c>
      <c r="Z67" s="20" t="s">
        <v>31</v>
      </c>
      <c r="AA67" s="20">
        <v>3.8753250000000002E-3</v>
      </c>
      <c r="AB67" s="20" t="b">
        <v>0</v>
      </c>
      <c r="AC67" s="20">
        <v>0.111766633</v>
      </c>
      <c r="AD67" s="20">
        <v>0</v>
      </c>
      <c r="AE67" s="20">
        <v>0</v>
      </c>
      <c r="AF67" s="20">
        <v>0</v>
      </c>
      <c r="AG67" s="20">
        <v>0</v>
      </c>
      <c r="AH67" s="71">
        <v>20</v>
      </c>
      <c r="AI67" s="20" t="s">
        <v>31</v>
      </c>
      <c r="AJ67" s="20" t="s">
        <v>32</v>
      </c>
      <c r="AK67" s="20">
        <v>3.1025659000000001E-2</v>
      </c>
      <c r="AL67" s="20" t="b">
        <v>1</v>
      </c>
      <c r="AM67" s="20">
        <v>0.119688718</v>
      </c>
      <c r="AN67" s="20">
        <v>0</v>
      </c>
      <c r="AO67" s="20">
        <v>2.9142679999999998E-3</v>
      </c>
      <c r="AP67" s="20">
        <v>0.95017336600000002</v>
      </c>
      <c r="AQ67" s="48">
        <v>0.28137864699999998</v>
      </c>
      <c r="AR67" s="20">
        <v>20</v>
      </c>
      <c r="AS67" s="20" t="s">
        <v>32</v>
      </c>
      <c r="AT67" s="20" t="s">
        <v>33</v>
      </c>
      <c r="AU67" s="20">
        <v>6.1033661000000003E-2</v>
      </c>
      <c r="AV67" s="20" t="b">
        <v>0</v>
      </c>
      <c r="AW67" s="20">
        <v>0.104529309</v>
      </c>
      <c r="AX67" s="20">
        <v>1.7538013000000002E-2</v>
      </c>
      <c r="AY67" s="20">
        <v>0</v>
      </c>
      <c r="AZ67" s="20">
        <v>0</v>
      </c>
      <c r="BA67" s="48">
        <v>0</v>
      </c>
      <c r="BB67" s="71">
        <v>20</v>
      </c>
      <c r="BC67" s="20" t="s">
        <v>33</v>
      </c>
      <c r="BD67" s="20" t="s">
        <v>34</v>
      </c>
      <c r="BE67" s="20">
        <v>0.19666982199999999</v>
      </c>
      <c r="BF67" s="20" t="b">
        <v>0</v>
      </c>
      <c r="BG67" s="20">
        <v>0.24317075499999999</v>
      </c>
      <c r="BH67" s="20">
        <v>0.150168889</v>
      </c>
      <c r="BI67" s="20">
        <v>0</v>
      </c>
      <c r="BJ67" s="20">
        <v>0</v>
      </c>
      <c r="BK67" s="48">
        <v>0</v>
      </c>
      <c r="BL67" s="20">
        <v>20</v>
      </c>
      <c r="BM67" s="18" t="s">
        <v>34</v>
      </c>
      <c r="BN67" s="20" t="s">
        <v>35</v>
      </c>
      <c r="BO67" s="20">
        <v>0.23378622600000001</v>
      </c>
      <c r="BP67" s="20" t="b">
        <v>0</v>
      </c>
      <c r="BQ67" s="20">
        <v>0.35348155199999998</v>
      </c>
      <c r="BR67" s="20">
        <v>0.114090899</v>
      </c>
      <c r="BS67" s="20">
        <v>0</v>
      </c>
      <c r="BT67" s="20">
        <v>0</v>
      </c>
      <c r="BU67" s="48">
        <v>0</v>
      </c>
      <c r="BV67" s="20">
        <v>20</v>
      </c>
      <c r="BW67" s="20" t="s">
        <v>35</v>
      </c>
      <c r="BX67" s="20" t="s">
        <v>36</v>
      </c>
      <c r="BY67" s="20"/>
      <c r="BZ67" s="20" t="b">
        <v>1</v>
      </c>
      <c r="CA67" s="20"/>
      <c r="CB67" s="20"/>
      <c r="CC67" s="20"/>
      <c r="CD67" s="20"/>
      <c r="CE67" s="20"/>
    </row>
    <row r="68" spans="1:83" x14ac:dyDescent="0.25">
      <c r="A68" s="18">
        <v>26</v>
      </c>
      <c r="B68" s="18">
        <v>45</v>
      </c>
      <c r="C68" s="18">
        <v>26</v>
      </c>
      <c r="D68" s="72" t="s">
        <v>28</v>
      </c>
      <c r="E68" s="18" t="s">
        <v>29</v>
      </c>
      <c r="F68" s="18">
        <v>0.27394174399999999</v>
      </c>
      <c r="G68" s="18"/>
      <c r="H68" s="18" t="b">
        <v>1</v>
      </c>
      <c r="I68" s="18">
        <v>0.95513145399999999</v>
      </c>
      <c r="J68" s="18">
        <v>0</v>
      </c>
      <c r="K68" s="18">
        <v>0.16458767799999999</v>
      </c>
      <c r="L68" s="18">
        <v>0.81926598299999998</v>
      </c>
      <c r="M68" s="49">
        <v>0.28558000700000002</v>
      </c>
      <c r="N68" s="72">
        <v>26</v>
      </c>
      <c r="O68" s="18" t="s">
        <v>29</v>
      </c>
      <c r="P68" s="18" t="s">
        <v>30</v>
      </c>
      <c r="Q68" s="18">
        <v>0.20188231300000001</v>
      </c>
      <c r="R68" s="18" t="b">
        <v>0</v>
      </c>
      <c r="S68" s="18">
        <v>0.64030081500000002</v>
      </c>
      <c r="T68" s="18">
        <v>0</v>
      </c>
      <c r="U68" s="18">
        <v>0</v>
      </c>
      <c r="V68" s="18">
        <v>0</v>
      </c>
      <c r="W68" s="49">
        <v>0</v>
      </c>
      <c r="X68" s="18">
        <v>26</v>
      </c>
      <c r="Y68" s="18" t="s">
        <v>30</v>
      </c>
      <c r="Z68" s="18" t="s">
        <v>31</v>
      </c>
      <c r="AA68" s="18">
        <v>6.0963073E-2</v>
      </c>
      <c r="AB68" s="18" t="b">
        <v>0</v>
      </c>
      <c r="AC68" s="18">
        <v>0.18126356299999999</v>
      </c>
      <c r="AD68" s="18">
        <v>0</v>
      </c>
      <c r="AE68" s="18">
        <v>0</v>
      </c>
      <c r="AF68" s="18">
        <v>0</v>
      </c>
      <c r="AG68" s="18">
        <v>0</v>
      </c>
      <c r="AH68" s="72">
        <v>26</v>
      </c>
      <c r="AI68" s="18" t="s">
        <v>31</v>
      </c>
      <c r="AJ68" s="18" t="s">
        <v>32</v>
      </c>
      <c r="AK68" s="18">
        <v>6.3370087000000005E-2</v>
      </c>
      <c r="AL68" s="18" t="b">
        <v>0</v>
      </c>
      <c r="AM68" s="18">
        <v>0.19670223100000001</v>
      </c>
      <c r="AN68" s="18">
        <v>0</v>
      </c>
      <c r="AO68" s="18">
        <v>0</v>
      </c>
      <c r="AP68" s="18">
        <v>0</v>
      </c>
      <c r="AQ68" s="49">
        <v>0</v>
      </c>
      <c r="AR68" s="18">
        <v>26</v>
      </c>
      <c r="AS68" s="18" t="s">
        <v>32</v>
      </c>
      <c r="AT68" s="18" t="s">
        <v>33</v>
      </c>
      <c r="AU68" s="18">
        <v>2.1999000000000001E-2</v>
      </c>
      <c r="AV68" s="18" t="b">
        <v>1</v>
      </c>
      <c r="AW68" s="18">
        <v>5.8142553999999999E-2</v>
      </c>
      <c r="AX68" s="18">
        <v>0</v>
      </c>
      <c r="AY68" s="18">
        <v>2.6246499999999997E-4</v>
      </c>
      <c r="AZ68" s="18">
        <v>0.49397056299999997</v>
      </c>
      <c r="BA68" s="49">
        <v>0.15604420799999999</v>
      </c>
      <c r="BB68" s="72">
        <v>26</v>
      </c>
      <c r="BC68" s="18" t="s">
        <v>33</v>
      </c>
      <c r="BD68" s="18" t="s">
        <v>34</v>
      </c>
      <c r="BE68" s="18"/>
      <c r="BF68" s="18" t="b">
        <v>1</v>
      </c>
      <c r="BG68" s="18"/>
      <c r="BH68" s="18"/>
      <c r="BI68" s="18"/>
      <c r="BJ68" s="18"/>
      <c r="BK68" s="49"/>
      <c r="BL68" s="18">
        <v>26</v>
      </c>
      <c r="BM68" s="18" t="s">
        <v>34</v>
      </c>
      <c r="BN68" s="18" t="s">
        <v>35</v>
      </c>
      <c r="BO68" s="18"/>
      <c r="BP68" s="18" t="b">
        <v>1</v>
      </c>
      <c r="BQ68" s="18"/>
      <c r="BR68" s="18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 t="b">
        <v>1</v>
      </c>
      <c r="CA68" s="18"/>
      <c r="CB68" s="18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8"/>
      <c r="G69" s="18"/>
      <c r="H69" s="18" t="b">
        <v>1</v>
      </c>
      <c r="I69" s="18"/>
      <c r="J69" s="18"/>
      <c r="K69" s="18"/>
      <c r="L69" s="18"/>
      <c r="M69" s="49"/>
      <c r="N69" s="72">
        <v>27</v>
      </c>
      <c r="O69" s="18" t="s">
        <v>29</v>
      </c>
      <c r="P69" s="18" t="s">
        <v>30</v>
      </c>
      <c r="Q69" s="18"/>
      <c r="R69" s="18" t="b">
        <v>1</v>
      </c>
      <c r="S69" s="18"/>
      <c r="T69" s="18"/>
      <c r="U69" s="18"/>
      <c r="V69" s="18"/>
      <c r="W69" s="49"/>
      <c r="X69" s="18">
        <v>27</v>
      </c>
      <c r="Y69" s="18" t="s">
        <v>30</v>
      </c>
      <c r="Z69" s="18" t="s">
        <v>31</v>
      </c>
      <c r="AA69" s="18"/>
      <c r="AB69" s="18" t="b">
        <v>1</v>
      </c>
      <c r="AC69" s="18"/>
      <c r="AD69" s="18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18"/>
      <c r="AL69" s="18" t="b">
        <v>1</v>
      </c>
      <c r="AM69" s="18"/>
      <c r="AN69" s="18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18"/>
      <c r="AV69" s="18" t="b">
        <v>1</v>
      </c>
      <c r="AW69" s="18"/>
      <c r="AX69" s="18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18"/>
      <c r="BF69" s="18" t="b">
        <v>1</v>
      </c>
      <c r="BG69" s="18"/>
      <c r="BH69" s="18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18"/>
      <c r="BP69" s="18" t="b">
        <v>1</v>
      </c>
      <c r="BQ69" s="18"/>
      <c r="BR69" s="18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 t="b">
        <v>1</v>
      </c>
      <c r="CA69" s="18"/>
      <c r="CB69" s="18"/>
      <c r="CC69" s="18"/>
      <c r="CD69" s="18"/>
      <c r="CE69" s="18"/>
    </row>
    <row r="70" spans="1:83" x14ac:dyDescent="0.25">
      <c r="A70" s="18">
        <v>32</v>
      </c>
      <c r="B70" s="18">
        <v>45</v>
      </c>
      <c r="C70" s="18">
        <v>32</v>
      </c>
      <c r="D70" s="72" t="s">
        <v>28</v>
      </c>
      <c r="E70" s="18" t="s">
        <v>29</v>
      </c>
      <c r="F70" s="18">
        <v>0.19114183800000001</v>
      </c>
      <c r="G70" s="18"/>
      <c r="H70" s="18" t="b">
        <v>0</v>
      </c>
      <c r="I70" s="18">
        <v>0.69464385799999995</v>
      </c>
      <c r="J70" s="18">
        <v>0</v>
      </c>
      <c r="K70" s="18">
        <v>0</v>
      </c>
      <c r="L70" s="18">
        <v>0</v>
      </c>
      <c r="M70" s="49">
        <v>0</v>
      </c>
      <c r="N70" s="72">
        <v>32</v>
      </c>
      <c r="O70" s="18" t="s">
        <v>29</v>
      </c>
      <c r="P70" s="18" t="s">
        <v>30</v>
      </c>
      <c r="Q70" s="18">
        <v>0.53623761000000003</v>
      </c>
      <c r="R70" s="18" t="b">
        <v>0</v>
      </c>
      <c r="S70" s="18">
        <v>0.93221318900000005</v>
      </c>
      <c r="T70" s="18">
        <v>0.14026203100000001</v>
      </c>
      <c r="U70" s="18">
        <v>0</v>
      </c>
      <c r="V70" s="18">
        <v>0</v>
      </c>
      <c r="W70" s="49">
        <v>0</v>
      </c>
      <c r="X70" s="18">
        <v>32</v>
      </c>
      <c r="Y70" s="18" t="s">
        <v>30</v>
      </c>
      <c r="Z70" s="18" t="s">
        <v>31</v>
      </c>
      <c r="AA70" s="18">
        <v>9.2573644999999996E-2</v>
      </c>
      <c r="AB70" s="18" t="b">
        <v>0</v>
      </c>
      <c r="AC70" s="18">
        <v>0.142975835</v>
      </c>
      <c r="AD70" s="18">
        <v>4.2171453999999997E-2</v>
      </c>
      <c r="AE70" s="18">
        <v>0</v>
      </c>
      <c r="AF70" s="18">
        <v>0</v>
      </c>
      <c r="AG70" s="18">
        <v>0</v>
      </c>
      <c r="AH70" s="72">
        <v>32</v>
      </c>
      <c r="AI70" s="18" t="s">
        <v>31</v>
      </c>
      <c r="AJ70" s="18" t="s">
        <v>32</v>
      </c>
      <c r="AK70" s="18">
        <v>5.8922036999999997E-2</v>
      </c>
      <c r="AL70" s="18" t="b">
        <v>0</v>
      </c>
      <c r="AM70" s="18">
        <v>0.18970445599999999</v>
      </c>
      <c r="AN70" s="18">
        <v>0</v>
      </c>
      <c r="AO70" s="18">
        <v>0</v>
      </c>
      <c r="AP70" s="18">
        <v>0</v>
      </c>
      <c r="AQ70" s="49">
        <v>0</v>
      </c>
      <c r="AR70" s="18">
        <v>32</v>
      </c>
      <c r="AS70" s="18" t="s">
        <v>32</v>
      </c>
      <c r="AT70" s="18" t="s">
        <v>33</v>
      </c>
      <c r="AU70" s="18">
        <v>0.48910162299999999</v>
      </c>
      <c r="AV70" s="18" t="b">
        <v>0</v>
      </c>
      <c r="AW70" s="18">
        <v>0.674335409</v>
      </c>
      <c r="AX70" s="18">
        <v>0.303867836</v>
      </c>
      <c r="AY70" s="18">
        <v>0</v>
      </c>
      <c r="AZ70" s="18">
        <v>0</v>
      </c>
      <c r="BA70" s="49">
        <v>0</v>
      </c>
      <c r="BB70" s="72">
        <v>32</v>
      </c>
      <c r="BC70" s="18" t="s">
        <v>33</v>
      </c>
      <c r="BD70" s="18" t="s">
        <v>34</v>
      </c>
      <c r="BE70" s="18"/>
      <c r="BF70" s="18" t="b">
        <v>1</v>
      </c>
      <c r="BG70" s="18"/>
      <c r="BH70" s="18"/>
      <c r="BI70" s="18"/>
      <c r="BJ70" s="18"/>
      <c r="BK70" s="49"/>
      <c r="BL70" s="18">
        <v>32</v>
      </c>
      <c r="BM70" s="18" t="s">
        <v>34</v>
      </c>
      <c r="BN70" s="18" t="s">
        <v>35</v>
      </c>
      <c r="BO70" s="18"/>
      <c r="BP70" s="18" t="b">
        <v>1</v>
      </c>
      <c r="BQ70" s="18"/>
      <c r="BR70" s="18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 t="b">
        <v>1</v>
      </c>
      <c r="CA70" s="18"/>
      <c r="CB70" s="18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8"/>
      <c r="G71" s="18"/>
      <c r="H71" s="18" t="b">
        <v>1</v>
      </c>
      <c r="I71" s="18"/>
      <c r="J71" s="18"/>
      <c r="K71" s="18"/>
      <c r="L71" s="18"/>
      <c r="M71" s="49"/>
      <c r="N71" s="72">
        <v>33</v>
      </c>
      <c r="O71" s="18" t="s">
        <v>29</v>
      </c>
      <c r="P71" s="18" t="s">
        <v>30</v>
      </c>
      <c r="Q71" s="18">
        <v>7.2045250000000005E-2</v>
      </c>
      <c r="R71" s="18" t="b">
        <v>0</v>
      </c>
      <c r="S71" s="18">
        <v>0.13238968500000001</v>
      </c>
      <c r="T71" s="18">
        <v>1.1700815E-2</v>
      </c>
      <c r="U71" s="18">
        <v>0</v>
      </c>
      <c r="V71" s="18">
        <v>0</v>
      </c>
      <c r="W71" s="49">
        <v>0</v>
      </c>
      <c r="X71" s="18">
        <v>33</v>
      </c>
      <c r="Y71" s="18" t="s">
        <v>30</v>
      </c>
      <c r="Z71" s="18" t="s">
        <v>31</v>
      </c>
      <c r="AA71" s="18">
        <v>2.3572424000000002E-2</v>
      </c>
      <c r="AB71" s="18" t="b">
        <v>0</v>
      </c>
      <c r="AC71" s="18">
        <v>3.7024098999999998E-2</v>
      </c>
      <c r="AD71" s="18">
        <v>1.0120749E-2</v>
      </c>
      <c r="AE71" s="18">
        <v>0</v>
      </c>
      <c r="AF71" s="18">
        <v>0</v>
      </c>
      <c r="AG71" s="18">
        <v>0</v>
      </c>
      <c r="AH71" s="72">
        <v>33</v>
      </c>
      <c r="AI71" s="18" t="s">
        <v>31</v>
      </c>
      <c r="AJ71" s="18" t="s">
        <v>32</v>
      </c>
      <c r="AK71" s="18">
        <v>0</v>
      </c>
      <c r="AL71" s="18" t="b">
        <v>1</v>
      </c>
      <c r="AM71" s="18">
        <v>2.6662526999999998E-2</v>
      </c>
      <c r="AN71" s="18">
        <v>0</v>
      </c>
      <c r="AO71" s="18">
        <v>5.5833200000000003E-4</v>
      </c>
      <c r="AP71" s="18">
        <v>1</v>
      </c>
      <c r="AQ71" s="49">
        <v>1</v>
      </c>
      <c r="AR71" s="18">
        <v>33</v>
      </c>
      <c r="AS71" s="18" t="s">
        <v>32</v>
      </c>
      <c r="AT71" s="18" t="s">
        <v>33</v>
      </c>
      <c r="AU71" s="18">
        <v>0.51009912899999998</v>
      </c>
      <c r="AV71" s="18" t="b">
        <v>0</v>
      </c>
      <c r="AW71" s="18">
        <v>0.813521779</v>
      </c>
      <c r="AX71" s="18">
        <v>0.20667648</v>
      </c>
      <c r="AY71" s="18">
        <v>0</v>
      </c>
      <c r="AZ71" s="18">
        <v>0</v>
      </c>
      <c r="BA71" s="49">
        <v>0</v>
      </c>
      <c r="BB71" s="72">
        <v>33</v>
      </c>
      <c r="BC71" s="18" t="s">
        <v>33</v>
      </c>
      <c r="BD71" s="18" t="s">
        <v>34</v>
      </c>
      <c r="BE71" s="18"/>
      <c r="BF71" s="18" t="b">
        <v>1</v>
      </c>
      <c r="BG71" s="18"/>
      <c r="BH71" s="18"/>
      <c r="BI71" s="18"/>
      <c r="BJ71" s="18"/>
      <c r="BK71" s="49"/>
      <c r="BL71" s="18">
        <v>33</v>
      </c>
      <c r="BM71" s="18" t="s">
        <v>34</v>
      </c>
      <c r="BN71" s="18" t="s">
        <v>35</v>
      </c>
      <c r="BO71" s="18"/>
      <c r="BP71" s="18" t="b">
        <v>1</v>
      </c>
      <c r="BQ71" s="18"/>
      <c r="BR71" s="18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 t="b">
        <v>1</v>
      </c>
      <c r="CA71" s="18"/>
      <c r="CB71" s="18"/>
      <c r="CC71" s="18"/>
      <c r="CD71" s="18"/>
      <c r="CE71" s="18"/>
    </row>
    <row r="72" spans="1:83" x14ac:dyDescent="0.25">
      <c r="A72" s="18">
        <v>34</v>
      </c>
      <c r="B72" s="18">
        <v>45</v>
      </c>
      <c r="C72" s="18">
        <v>34</v>
      </c>
      <c r="D72" s="72" t="s">
        <v>28</v>
      </c>
      <c r="E72" s="18" t="s">
        <v>29</v>
      </c>
      <c r="F72" s="18">
        <v>4.5888235999999999E-2</v>
      </c>
      <c r="G72" s="18"/>
      <c r="H72" s="18" t="b">
        <v>0</v>
      </c>
      <c r="I72" s="18">
        <v>0.193149501</v>
      </c>
      <c r="J72" s="18">
        <v>0</v>
      </c>
      <c r="K72" s="18">
        <v>0</v>
      </c>
      <c r="L72" s="18">
        <v>0</v>
      </c>
      <c r="M72" s="49">
        <v>0</v>
      </c>
      <c r="N72" s="72">
        <v>34</v>
      </c>
      <c r="O72" s="18" t="s">
        <v>29</v>
      </c>
      <c r="P72" s="18" t="s">
        <v>30</v>
      </c>
      <c r="Q72" s="18">
        <v>0.10718370300000001</v>
      </c>
      <c r="R72" s="18" t="b">
        <v>0</v>
      </c>
      <c r="S72" s="18">
        <v>0.202289623</v>
      </c>
      <c r="T72" s="18">
        <v>1.2077783E-2</v>
      </c>
      <c r="U72" s="18">
        <v>0</v>
      </c>
      <c r="V72" s="18">
        <v>0</v>
      </c>
      <c r="W72" s="49">
        <v>0</v>
      </c>
      <c r="X72" s="18">
        <v>34</v>
      </c>
      <c r="Y72" s="18" t="s">
        <v>30</v>
      </c>
      <c r="Z72" s="18" t="s">
        <v>31</v>
      </c>
      <c r="AA72" s="18">
        <v>5.4683589999999997E-2</v>
      </c>
      <c r="AB72" s="18" t="b">
        <v>1</v>
      </c>
      <c r="AC72" s="18">
        <v>0.14340354799999999</v>
      </c>
      <c r="AD72" s="18">
        <v>0</v>
      </c>
      <c r="AE72" s="18">
        <v>1.2095739999999999E-3</v>
      </c>
      <c r="AF72" s="18">
        <v>0.82090087499999997</v>
      </c>
      <c r="AG72" s="18">
        <v>8.5608221999999998E-2</v>
      </c>
      <c r="AH72" s="72">
        <v>34</v>
      </c>
      <c r="AI72" s="18" t="s">
        <v>31</v>
      </c>
      <c r="AJ72" s="18" t="s">
        <v>32</v>
      </c>
      <c r="AK72" s="18">
        <v>2.5791321999999998E-2</v>
      </c>
      <c r="AL72" s="18" t="b">
        <v>0</v>
      </c>
      <c r="AM72" s="18">
        <v>0.13628543800000001</v>
      </c>
      <c r="AN72" s="18">
        <v>0</v>
      </c>
      <c r="AO72" s="18">
        <v>0</v>
      </c>
      <c r="AP72" s="18">
        <v>0</v>
      </c>
      <c r="AQ72" s="49">
        <v>0</v>
      </c>
      <c r="AR72" s="18">
        <v>34</v>
      </c>
      <c r="AS72" s="18" t="s">
        <v>32</v>
      </c>
      <c r="AT72" s="18" t="s">
        <v>33</v>
      </c>
      <c r="AU72" s="18">
        <v>7.335419E-2</v>
      </c>
      <c r="AV72" s="18" t="b">
        <v>1</v>
      </c>
      <c r="AW72" s="18">
        <v>0.179943407</v>
      </c>
      <c r="AX72" s="18">
        <v>0</v>
      </c>
      <c r="AY72" s="18">
        <v>9.6055900000000004E-4</v>
      </c>
      <c r="AZ72" s="18">
        <v>0.97024307600000004</v>
      </c>
      <c r="BA72" s="49">
        <v>3.8742176000000003E-2</v>
      </c>
      <c r="BB72" s="72">
        <v>34</v>
      </c>
      <c r="BC72" s="18" t="s">
        <v>33</v>
      </c>
      <c r="BD72" s="18" t="s">
        <v>34</v>
      </c>
      <c r="BE72" s="18"/>
      <c r="BF72" s="18" t="b">
        <v>1</v>
      </c>
      <c r="BG72" s="18"/>
      <c r="BH72" s="18"/>
      <c r="BI72" s="18"/>
      <c r="BJ72" s="18"/>
      <c r="BK72" s="49"/>
      <c r="BL72" s="18">
        <v>34</v>
      </c>
      <c r="BM72" s="18" t="s">
        <v>34</v>
      </c>
      <c r="BN72" s="18" t="s">
        <v>35</v>
      </c>
      <c r="BO72" s="18"/>
      <c r="BP72" s="18" t="b">
        <v>1</v>
      </c>
      <c r="BQ72" s="18"/>
      <c r="BR72" s="18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 t="b">
        <v>1</v>
      </c>
      <c r="CA72" s="18"/>
      <c r="CB72" s="18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8"/>
      <c r="G73" s="18"/>
      <c r="H73" s="18" t="b">
        <v>1</v>
      </c>
      <c r="I73" s="18"/>
      <c r="J73" s="18"/>
      <c r="K73" s="18"/>
      <c r="L73" s="18"/>
      <c r="M73" s="49"/>
      <c r="N73" s="72">
        <v>35</v>
      </c>
      <c r="O73" s="18" t="s">
        <v>29</v>
      </c>
      <c r="P73" s="18" t="s">
        <v>30</v>
      </c>
      <c r="Q73" s="18"/>
      <c r="R73" s="18" t="b">
        <v>1</v>
      </c>
      <c r="S73" s="18"/>
      <c r="T73" s="18"/>
      <c r="U73" s="18"/>
      <c r="V73" s="18"/>
      <c r="W73" s="49"/>
      <c r="X73" s="18">
        <v>35</v>
      </c>
      <c r="Y73" s="18" t="s">
        <v>30</v>
      </c>
      <c r="Z73" s="18" t="s">
        <v>31</v>
      </c>
      <c r="AA73" s="18"/>
      <c r="AB73" s="18" t="b">
        <v>1</v>
      </c>
      <c r="AC73" s="18"/>
      <c r="AD73" s="18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18"/>
      <c r="AL73" s="18" t="b">
        <v>1</v>
      </c>
      <c r="AM73" s="18"/>
      <c r="AN73" s="18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18"/>
      <c r="AV73" s="18" t="b">
        <v>1</v>
      </c>
      <c r="AW73" s="18"/>
      <c r="AX73" s="18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18"/>
      <c r="BF73" s="18" t="b">
        <v>1</v>
      </c>
      <c r="BG73" s="18"/>
      <c r="BH73" s="18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18"/>
      <c r="BP73" s="18" t="b">
        <v>1</v>
      </c>
      <c r="BQ73" s="18"/>
      <c r="BR73" s="18"/>
      <c r="BS73" s="18"/>
      <c r="BT73" s="18"/>
      <c r="BU73" s="49"/>
      <c r="BV73" s="18">
        <v>35</v>
      </c>
      <c r="BW73" s="18" t="s">
        <v>35</v>
      </c>
      <c r="BX73" s="18" t="s">
        <v>36</v>
      </c>
      <c r="BY73" s="18">
        <v>6.8035976999999997E-2</v>
      </c>
      <c r="BZ73" s="18" t="b">
        <v>1</v>
      </c>
      <c r="CA73" s="18">
        <v>0.71944110699999997</v>
      </c>
      <c r="CB73" s="18">
        <v>0</v>
      </c>
      <c r="CC73" s="18">
        <v>0.28328442599999998</v>
      </c>
      <c r="CD73" s="18">
        <v>0.95601656199999996</v>
      </c>
      <c r="CE73" s="18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/>
      <c r="K74" s="18"/>
      <c r="L74" s="18"/>
      <c r="M74" s="49"/>
      <c r="N74" s="72">
        <v>38</v>
      </c>
      <c r="O74" s="18" t="s">
        <v>29</v>
      </c>
      <c r="P74" s="18" t="s">
        <v>30</v>
      </c>
      <c r="Q74" s="18"/>
      <c r="R74" s="18" t="b">
        <v>1</v>
      </c>
      <c r="S74" s="18"/>
      <c r="T74" s="18"/>
      <c r="U74" s="18"/>
      <c r="V74" s="18"/>
      <c r="W74" s="49"/>
      <c r="X74" s="18">
        <v>38</v>
      </c>
      <c r="Y74" s="18" t="s">
        <v>30</v>
      </c>
      <c r="Z74" s="18" t="s">
        <v>31</v>
      </c>
      <c r="AA74" s="18"/>
      <c r="AB74" s="18" t="b">
        <v>1</v>
      </c>
      <c r="AC74" s="18"/>
      <c r="AD74" s="18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18"/>
      <c r="AL74" s="18" t="b">
        <v>1</v>
      </c>
      <c r="AM74" s="18"/>
      <c r="AN74" s="18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18"/>
      <c r="AV74" s="18" t="b">
        <v>1</v>
      </c>
      <c r="AW74" s="18"/>
      <c r="AX74" s="18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18"/>
      <c r="BF74" s="18" t="b">
        <v>1</v>
      </c>
      <c r="BG74" s="18"/>
      <c r="BH74" s="18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18"/>
      <c r="BP74" s="18" t="b">
        <v>1</v>
      </c>
      <c r="BQ74" s="18"/>
      <c r="BR74" s="18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18"/>
      <c r="BZ74" s="18" t="b">
        <v>1</v>
      </c>
      <c r="CA74" s="18"/>
      <c r="CB74" s="18"/>
      <c r="CC74" s="18"/>
      <c r="CD74" s="18"/>
      <c r="CE74" s="18"/>
    </row>
    <row r="75" spans="1:83" x14ac:dyDescent="0.25">
      <c r="A75" s="18">
        <v>39</v>
      </c>
      <c r="B75" s="18">
        <v>45</v>
      </c>
      <c r="C75" s="18">
        <v>39</v>
      </c>
      <c r="D75" s="72" t="s">
        <v>28</v>
      </c>
      <c r="E75" s="18" t="s">
        <v>29</v>
      </c>
      <c r="F75" s="18">
        <v>3.4603948000000002E-2</v>
      </c>
      <c r="G75" s="18"/>
      <c r="H75" s="18" t="b">
        <v>0</v>
      </c>
      <c r="I75" s="18">
        <v>0.13427203800000001</v>
      </c>
      <c r="J75" s="18">
        <v>0</v>
      </c>
      <c r="K75" s="18">
        <v>0</v>
      </c>
      <c r="L75" s="18">
        <v>0</v>
      </c>
      <c r="M75" s="49">
        <v>0</v>
      </c>
      <c r="N75" s="72">
        <v>39</v>
      </c>
      <c r="O75" s="18" t="s">
        <v>29</v>
      </c>
      <c r="P75" s="18" t="s">
        <v>30</v>
      </c>
      <c r="Q75" s="18">
        <v>8.2785986000000006E-2</v>
      </c>
      <c r="R75" s="18" t="b">
        <v>0</v>
      </c>
      <c r="S75" s="18">
        <v>0.16503933700000001</v>
      </c>
      <c r="T75" s="18">
        <v>5.3263400000000004E-4</v>
      </c>
      <c r="U75" s="18">
        <v>0</v>
      </c>
      <c r="V75" s="18">
        <v>0</v>
      </c>
      <c r="W75" s="49">
        <v>0</v>
      </c>
      <c r="X75" s="18">
        <v>39</v>
      </c>
      <c r="Y75" s="18" t="s">
        <v>30</v>
      </c>
      <c r="Z75" s="18" t="s">
        <v>31</v>
      </c>
      <c r="AA75" s="18">
        <v>4.3347222999999997E-2</v>
      </c>
      <c r="AB75" s="18" t="b">
        <v>0</v>
      </c>
      <c r="AC75" s="18">
        <v>0.193694744</v>
      </c>
      <c r="AD75" s="18">
        <v>0</v>
      </c>
      <c r="AE75" s="18">
        <v>0</v>
      </c>
      <c r="AF75" s="18">
        <v>0</v>
      </c>
      <c r="AG75" s="18">
        <v>0</v>
      </c>
      <c r="AH75" s="72">
        <v>39</v>
      </c>
      <c r="AI75" s="18" t="s">
        <v>31</v>
      </c>
      <c r="AJ75" s="18" t="s">
        <v>32</v>
      </c>
      <c r="AK75" s="18">
        <v>7.7306742999999997E-2</v>
      </c>
      <c r="AL75" s="18" t="b">
        <v>1</v>
      </c>
      <c r="AM75" s="18">
        <v>0.245605295</v>
      </c>
      <c r="AN75" s="18">
        <v>0</v>
      </c>
      <c r="AO75" s="18">
        <v>9.3316159999999992E-3</v>
      </c>
      <c r="AP75" s="18">
        <v>0.617706686</v>
      </c>
      <c r="AQ75" s="49">
        <v>0.30334736699999998</v>
      </c>
      <c r="AR75" s="18">
        <v>39</v>
      </c>
      <c r="AS75" s="18" t="s">
        <v>32</v>
      </c>
      <c r="AT75" s="18" t="s">
        <v>33</v>
      </c>
      <c r="AU75" s="18">
        <v>6.9580936999999995E-2</v>
      </c>
      <c r="AV75" s="18" t="b">
        <v>1</v>
      </c>
      <c r="AW75" s="18">
        <v>0.162156419</v>
      </c>
      <c r="AX75" s="18">
        <v>0</v>
      </c>
      <c r="AY75" s="18">
        <v>7.7646699999999998E-4</v>
      </c>
      <c r="AZ75" s="18">
        <v>0.457972936</v>
      </c>
      <c r="BA75" s="49">
        <v>5.1398264999999999E-2</v>
      </c>
      <c r="BB75" s="72">
        <v>39</v>
      </c>
      <c r="BC75" s="18" t="s">
        <v>33</v>
      </c>
      <c r="BD75" s="18" t="s">
        <v>34</v>
      </c>
      <c r="BE75" s="18"/>
      <c r="BF75" s="18" t="b">
        <v>1</v>
      </c>
      <c r="BG75" s="18"/>
      <c r="BH75" s="18"/>
      <c r="BI75" s="18"/>
      <c r="BJ75" s="18"/>
      <c r="BK75" s="49"/>
      <c r="BL75" s="18">
        <v>39</v>
      </c>
      <c r="BM75" s="18" t="s">
        <v>34</v>
      </c>
      <c r="BN75" s="18" t="s">
        <v>35</v>
      </c>
      <c r="BO75" s="18"/>
      <c r="BP75" s="18" t="b">
        <v>1</v>
      </c>
      <c r="BQ75" s="18"/>
      <c r="BR75" s="18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18"/>
      <c r="BZ75" s="18" t="b">
        <v>1</v>
      </c>
      <c r="CA75" s="18"/>
      <c r="CB75" s="18"/>
      <c r="CC75" s="18"/>
      <c r="CD75" s="18"/>
      <c r="CE75" s="18"/>
    </row>
    <row r="76" spans="1:83" x14ac:dyDescent="0.25">
      <c r="A76" s="18">
        <v>45</v>
      </c>
      <c r="B76" s="18">
        <v>45</v>
      </c>
      <c r="C76" s="18">
        <v>45</v>
      </c>
      <c r="D76" s="72" t="s">
        <v>28</v>
      </c>
      <c r="E76" s="18" t="s">
        <v>29</v>
      </c>
      <c r="F76" s="18">
        <v>0.63378753600000004</v>
      </c>
      <c r="G76" s="18"/>
      <c r="H76" s="18" t="b">
        <v>0</v>
      </c>
      <c r="I76" s="18">
        <v>0.64711756200000004</v>
      </c>
      <c r="J76" s="18">
        <v>0.62045751000000005</v>
      </c>
      <c r="K76" s="18">
        <v>0</v>
      </c>
      <c r="L76" s="18">
        <v>0</v>
      </c>
      <c r="M76" s="49">
        <v>0</v>
      </c>
      <c r="N76" s="72">
        <v>45</v>
      </c>
      <c r="O76" s="18" t="s">
        <v>29</v>
      </c>
      <c r="P76" s="18" t="s">
        <v>30</v>
      </c>
      <c r="Q76" s="18">
        <v>6.5284832000000001E-2</v>
      </c>
      <c r="R76" s="18" t="b">
        <v>0</v>
      </c>
      <c r="S76" s="18">
        <v>0.109703606</v>
      </c>
      <c r="T76" s="18">
        <v>2.0866058E-2</v>
      </c>
      <c r="U76" s="18">
        <v>0</v>
      </c>
      <c r="V76" s="18">
        <v>0</v>
      </c>
      <c r="W76" s="49">
        <v>0</v>
      </c>
      <c r="X76" s="18">
        <v>45</v>
      </c>
      <c r="Y76" s="18" t="s">
        <v>30</v>
      </c>
      <c r="Z76" s="18" t="s">
        <v>31</v>
      </c>
      <c r="AA76" s="18">
        <v>9.2639403999999995E-2</v>
      </c>
      <c r="AB76" s="18" t="b">
        <v>0</v>
      </c>
      <c r="AC76" s="18">
        <v>0.31200734699999999</v>
      </c>
      <c r="AD76" s="18">
        <v>0</v>
      </c>
      <c r="AE76" s="18">
        <v>0</v>
      </c>
      <c r="AF76" s="18">
        <v>0</v>
      </c>
      <c r="AG76" s="18">
        <v>0</v>
      </c>
      <c r="AH76" s="72">
        <v>45</v>
      </c>
      <c r="AI76" s="18" t="s">
        <v>31</v>
      </c>
      <c r="AJ76" s="18" t="s">
        <v>32</v>
      </c>
      <c r="AK76" s="18">
        <v>3.4771771E-2</v>
      </c>
      <c r="AL76" s="18" t="b">
        <v>0</v>
      </c>
      <c r="AM76" s="18">
        <v>0.24841772500000001</v>
      </c>
      <c r="AN76" s="18">
        <v>0</v>
      </c>
      <c r="AO76" s="18">
        <v>0</v>
      </c>
      <c r="AP76" s="18">
        <v>0</v>
      </c>
      <c r="AQ76" s="49">
        <v>0</v>
      </c>
      <c r="AR76" s="18">
        <v>45</v>
      </c>
      <c r="AS76" s="18" t="s">
        <v>32</v>
      </c>
      <c r="AT76" s="18" t="s">
        <v>33</v>
      </c>
      <c r="AU76" s="18">
        <v>5.5448169999999998E-2</v>
      </c>
      <c r="AV76" s="18" t="b">
        <v>1</v>
      </c>
      <c r="AW76" s="18">
        <v>0.154468042</v>
      </c>
      <c r="AX76" s="18">
        <v>0</v>
      </c>
      <c r="AY76" s="18">
        <v>2.2623220000000002E-3</v>
      </c>
      <c r="AZ76" s="18">
        <v>0.61638360599999997</v>
      </c>
      <c r="BA76" s="49">
        <v>0.17128733700000001</v>
      </c>
      <c r="BB76" s="72">
        <v>45</v>
      </c>
      <c r="BC76" s="18" t="s">
        <v>33</v>
      </c>
      <c r="BD76" s="18" t="s">
        <v>34</v>
      </c>
      <c r="BE76" s="18"/>
      <c r="BF76" s="18" t="b">
        <v>1</v>
      </c>
      <c r="BG76" s="18"/>
      <c r="BH76" s="18"/>
      <c r="BI76" s="18"/>
      <c r="BJ76" s="18"/>
      <c r="BK76" s="49"/>
      <c r="BL76" s="18">
        <v>45</v>
      </c>
      <c r="BM76" s="18" t="s">
        <v>34</v>
      </c>
      <c r="BN76" s="18" t="s">
        <v>35</v>
      </c>
      <c r="BO76" s="18"/>
      <c r="BP76" s="18" t="b">
        <v>1</v>
      </c>
      <c r="BQ76" s="18"/>
      <c r="BR76" s="18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18"/>
      <c r="BZ76" s="18" t="b">
        <v>1</v>
      </c>
      <c r="CA76" s="18"/>
      <c r="CB76" s="18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/>
      <c r="K77" s="18"/>
      <c r="L77" s="18"/>
      <c r="M77" s="49"/>
      <c r="N77" s="72">
        <v>46</v>
      </c>
      <c r="O77" s="18" t="s">
        <v>29</v>
      </c>
      <c r="P77" s="18" t="s">
        <v>30</v>
      </c>
      <c r="Q77" s="18"/>
      <c r="R77" s="18" t="b">
        <v>1</v>
      </c>
      <c r="S77" s="18"/>
      <c r="T77" s="18"/>
      <c r="U77" s="18"/>
      <c r="V77" s="18"/>
      <c r="W77" s="49"/>
      <c r="X77" s="18">
        <v>46</v>
      </c>
      <c r="Y77" s="18" t="s">
        <v>30</v>
      </c>
      <c r="Z77" s="18" t="s">
        <v>31</v>
      </c>
      <c r="AA77" s="18"/>
      <c r="AB77" s="18" t="b">
        <v>1</v>
      </c>
      <c r="AC77" s="18"/>
      <c r="AD77" s="18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18"/>
      <c r="AL77" s="18" t="b">
        <v>1</v>
      </c>
      <c r="AM77" s="18"/>
      <c r="AN77" s="18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18"/>
      <c r="AV77" s="18" t="b">
        <v>1</v>
      </c>
      <c r="AW77" s="18"/>
      <c r="AX77" s="18"/>
      <c r="AY77" s="18"/>
      <c r="AZ77" s="18"/>
      <c r="BA77" s="49"/>
      <c r="BB77" s="72">
        <v>46</v>
      </c>
      <c r="BC77" s="18" t="s">
        <v>33</v>
      </c>
      <c r="BD77" s="18" t="s">
        <v>34</v>
      </c>
      <c r="BE77" s="18">
        <v>0.33953335200000001</v>
      </c>
      <c r="BF77" s="18" t="b">
        <v>0</v>
      </c>
      <c r="BG77" s="18">
        <v>0.84611804400000001</v>
      </c>
      <c r="BH77" s="18">
        <v>0</v>
      </c>
      <c r="BI77" s="18">
        <v>0</v>
      </c>
      <c r="BJ77" s="18">
        <v>0</v>
      </c>
      <c r="BK77" s="49">
        <v>0</v>
      </c>
      <c r="BL77" s="18">
        <v>46</v>
      </c>
      <c r="BM77" s="18" t="s">
        <v>34</v>
      </c>
      <c r="BN77" s="18" t="s">
        <v>35</v>
      </c>
      <c r="BO77" s="18">
        <v>4.7166451999999998E-2</v>
      </c>
      <c r="BP77" s="18" t="b">
        <v>0</v>
      </c>
      <c r="BQ77" s="18">
        <v>0.92500724199999995</v>
      </c>
      <c r="BR77" s="18">
        <v>0</v>
      </c>
      <c r="BS77" s="18">
        <v>0</v>
      </c>
      <c r="BT77" s="18">
        <v>0</v>
      </c>
      <c r="BU77" s="49">
        <v>0</v>
      </c>
      <c r="BV77" s="18">
        <v>46</v>
      </c>
      <c r="BW77" s="18" t="s">
        <v>35</v>
      </c>
      <c r="BX77" s="18" t="s">
        <v>36</v>
      </c>
      <c r="BY77" s="18"/>
      <c r="BZ77" s="18" t="b">
        <v>1</v>
      </c>
      <c r="CA77" s="18"/>
      <c r="CB77" s="18"/>
      <c r="CC77" s="18"/>
      <c r="CD77" s="18"/>
      <c r="CE77" s="18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/>
      <c r="K78" s="18"/>
      <c r="L78" s="18"/>
      <c r="M78" s="49"/>
      <c r="N78" s="72">
        <v>47</v>
      </c>
      <c r="O78" s="18" t="s">
        <v>29</v>
      </c>
      <c r="P78" s="18" t="s">
        <v>30</v>
      </c>
      <c r="Q78" s="18"/>
      <c r="R78" s="18" t="b">
        <v>1</v>
      </c>
      <c r="S78" s="18"/>
      <c r="T78" s="18"/>
      <c r="U78" s="18"/>
      <c r="V78" s="18"/>
      <c r="W78" s="49"/>
      <c r="X78" s="18">
        <v>47</v>
      </c>
      <c r="Y78" s="18" t="s">
        <v>30</v>
      </c>
      <c r="Z78" s="18" t="s">
        <v>31</v>
      </c>
      <c r="AA78" s="18"/>
      <c r="AB78" s="18" t="b">
        <v>1</v>
      </c>
      <c r="AC78" s="18"/>
      <c r="AD78" s="18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18"/>
      <c r="AL78" s="18" t="b">
        <v>1</v>
      </c>
      <c r="AM78" s="18"/>
      <c r="AN78" s="18"/>
      <c r="AO78" s="18"/>
      <c r="AP78" s="18"/>
      <c r="AQ78" s="49"/>
      <c r="AR78" s="18">
        <v>47</v>
      </c>
      <c r="AS78" s="18" t="s">
        <v>32</v>
      </c>
      <c r="AT78" s="18" t="s">
        <v>33</v>
      </c>
      <c r="AU78" s="18">
        <v>8.2786969999999998E-3</v>
      </c>
      <c r="AV78" s="18" t="b">
        <v>0</v>
      </c>
      <c r="AW78" s="18">
        <v>0.24127354000000001</v>
      </c>
      <c r="AX78" s="18">
        <v>0</v>
      </c>
      <c r="AY78" s="18">
        <v>0</v>
      </c>
      <c r="AZ78" s="18">
        <v>0</v>
      </c>
      <c r="BA78" s="49">
        <v>0</v>
      </c>
      <c r="BB78" s="72">
        <v>47</v>
      </c>
      <c r="BC78" s="18" t="s">
        <v>33</v>
      </c>
      <c r="BD78" s="18" t="s">
        <v>34</v>
      </c>
      <c r="BE78" s="18">
        <v>0.13091977599999999</v>
      </c>
      <c r="BF78" s="18" t="b">
        <v>1</v>
      </c>
      <c r="BG78" s="18">
        <v>0.33870368899999997</v>
      </c>
      <c r="BH78" s="18">
        <v>0</v>
      </c>
      <c r="BI78" s="18">
        <v>7.3790949999999996E-3</v>
      </c>
      <c r="BJ78" s="18">
        <v>0.594351462</v>
      </c>
      <c r="BK78" s="49">
        <v>0.11184063499999999</v>
      </c>
      <c r="BL78" s="18">
        <v>47</v>
      </c>
      <c r="BM78" s="18" t="s">
        <v>34</v>
      </c>
      <c r="BN78" s="18" t="s">
        <v>35</v>
      </c>
      <c r="BO78" s="18"/>
      <c r="BP78" s="18" t="b">
        <v>1</v>
      </c>
      <c r="BQ78" s="18"/>
      <c r="BR78" s="18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18"/>
      <c r="BZ78" s="18" t="b">
        <v>1</v>
      </c>
      <c r="CA78" s="18"/>
      <c r="CB78" s="18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/>
      <c r="K79" s="18"/>
      <c r="L79" s="18"/>
      <c r="M79" s="49"/>
      <c r="N79" s="72">
        <v>48</v>
      </c>
      <c r="O79" s="18" t="s">
        <v>29</v>
      </c>
      <c r="P79" s="18" t="s">
        <v>30</v>
      </c>
      <c r="Q79" s="18"/>
      <c r="R79" s="18" t="b">
        <v>1</v>
      </c>
      <c r="S79" s="18"/>
      <c r="T79" s="18"/>
      <c r="U79" s="18"/>
      <c r="V79" s="18"/>
      <c r="W79" s="49"/>
      <c r="X79" s="18">
        <v>48</v>
      </c>
      <c r="Y79" s="18" t="s">
        <v>30</v>
      </c>
      <c r="Z79" s="18" t="s">
        <v>31</v>
      </c>
      <c r="AA79" s="18"/>
      <c r="AB79" s="18" t="b">
        <v>1</v>
      </c>
      <c r="AC79" s="18"/>
      <c r="AD79" s="18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18"/>
      <c r="AL79" s="18" t="b">
        <v>1</v>
      </c>
      <c r="AM79" s="18"/>
      <c r="AN79" s="18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18"/>
      <c r="AV79" s="18" t="b">
        <v>1</v>
      </c>
      <c r="AW79" s="18"/>
      <c r="AX79" s="18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18"/>
      <c r="BF79" s="18" t="b">
        <v>1</v>
      </c>
      <c r="BG79" s="18"/>
      <c r="BH79" s="18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18"/>
      <c r="BP79" s="18" t="b">
        <v>1</v>
      </c>
      <c r="BQ79" s="18"/>
      <c r="BR79" s="18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18"/>
      <c r="BZ79" s="18" t="b">
        <v>1</v>
      </c>
      <c r="CA79" s="18"/>
      <c r="CB79" s="18"/>
      <c r="CC79" s="18"/>
      <c r="CD79" s="18"/>
      <c r="CE79" s="18"/>
    </row>
    <row r="80" spans="1:83" x14ac:dyDescent="0.25">
      <c r="A80" s="18">
        <v>49</v>
      </c>
      <c r="B80" s="18">
        <v>45</v>
      </c>
      <c r="C80" s="18">
        <v>49</v>
      </c>
      <c r="D80" s="72" t="s">
        <v>28</v>
      </c>
      <c r="E80" s="18" t="s">
        <v>29</v>
      </c>
      <c r="F80" s="18">
        <v>4.4510226999999999E-2</v>
      </c>
      <c r="G80" s="18"/>
      <c r="H80" s="18" t="b">
        <v>0</v>
      </c>
      <c r="I80" s="18">
        <v>0.29604634800000001</v>
      </c>
      <c r="J80" s="18">
        <v>0</v>
      </c>
      <c r="K80" s="18">
        <v>0</v>
      </c>
      <c r="L80" s="18">
        <v>0</v>
      </c>
      <c r="M80" s="49">
        <v>0</v>
      </c>
      <c r="N80" s="72">
        <v>49</v>
      </c>
      <c r="O80" s="18" t="s">
        <v>29</v>
      </c>
      <c r="P80" s="18" t="s">
        <v>30</v>
      </c>
      <c r="Q80" s="18">
        <v>0.116052791</v>
      </c>
      <c r="R80" s="18" t="b">
        <v>1</v>
      </c>
      <c r="S80" s="18">
        <v>0.27310561</v>
      </c>
      <c r="T80" s="18">
        <v>0</v>
      </c>
      <c r="U80" s="18">
        <v>2.9603979999999999E-3</v>
      </c>
      <c r="V80" s="18">
        <v>0.184254586</v>
      </c>
      <c r="W80" s="49">
        <v>0.12878748800000001</v>
      </c>
      <c r="X80" s="18">
        <v>49</v>
      </c>
      <c r="Y80" s="18" t="s">
        <v>30</v>
      </c>
      <c r="Z80" s="18" t="s">
        <v>31</v>
      </c>
      <c r="AA80" s="18">
        <v>3.0090424000000001E-2</v>
      </c>
      <c r="AB80" s="18" t="b">
        <v>1</v>
      </c>
      <c r="AC80" s="18">
        <v>0.19339940999999999</v>
      </c>
      <c r="AD80" s="18">
        <v>0</v>
      </c>
      <c r="AE80" s="18">
        <v>1.5200971000000001E-2</v>
      </c>
      <c r="AF80" s="18">
        <v>0.94610529799999998</v>
      </c>
      <c r="AG80" s="18">
        <v>0.57422675700000003</v>
      </c>
      <c r="AH80" s="72">
        <v>49</v>
      </c>
      <c r="AI80" s="18" t="s">
        <v>31</v>
      </c>
      <c r="AJ80" s="18" t="s">
        <v>32</v>
      </c>
      <c r="AK80" s="18">
        <v>0.120484383</v>
      </c>
      <c r="AL80" s="18" t="b">
        <v>1</v>
      </c>
      <c r="AM80" s="18">
        <v>0.263471132</v>
      </c>
      <c r="AN80" s="18">
        <v>0</v>
      </c>
      <c r="AO80" s="18">
        <v>1.115022E-3</v>
      </c>
      <c r="AP80" s="18">
        <v>0.13543582600000001</v>
      </c>
      <c r="AQ80" s="49">
        <v>4.2120690000000002E-2</v>
      </c>
      <c r="AR80" s="18">
        <v>49</v>
      </c>
      <c r="AS80" s="18" t="s">
        <v>32</v>
      </c>
      <c r="AT80" s="18" t="s">
        <v>33</v>
      </c>
      <c r="AU80" s="18">
        <v>0.21517065099999999</v>
      </c>
      <c r="AV80" s="18" t="b">
        <v>0</v>
      </c>
      <c r="AW80" s="18">
        <v>0.36620462799999998</v>
      </c>
      <c r="AX80" s="18">
        <v>6.4136674000000005E-2</v>
      </c>
      <c r="AY80" s="18">
        <v>0</v>
      </c>
      <c r="AZ80" s="18">
        <v>0</v>
      </c>
      <c r="BA80" s="49">
        <v>0</v>
      </c>
      <c r="BB80" s="72">
        <v>49</v>
      </c>
      <c r="BC80" s="18" t="s">
        <v>33</v>
      </c>
      <c r="BD80" s="18" t="s">
        <v>34</v>
      </c>
      <c r="BE80" s="18"/>
      <c r="BF80" s="18" t="b">
        <v>1</v>
      </c>
      <c r="BG80" s="18"/>
      <c r="BH80" s="18"/>
      <c r="BI80" s="18"/>
      <c r="BJ80" s="18"/>
      <c r="BK80" s="49"/>
      <c r="BL80" s="18">
        <v>49</v>
      </c>
      <c r="BM80" s="18" t="s">
        <v>34</v>
      </c>
      <c r="BN80" s="18" t="s">
        <v>35</v>
      </c>
      <c r="BO80" s="18"/>
      <c r="BP80" s="18" t="b">
        <v>1</v>
      </c>
      <c r="BQ80" s="18"/>
      <c r="BR80" s="18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18"/>
      <c r="BZ80" s="18" t="b">
        <v>1</v>
      </c>
      <c r="CA80" s="18"/>
      <c r="CB80" s="18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/>
      <c r="K81" s="18"/>
      <c r="L81" s="18"/>
      <c r="M81" s="49"/>
      <c r="N81" s="72">
        <v>50</v>
      </c>
      <c r="O81" s="18" t="s">
        <v>29</v>
      </c>
      <c r="P81" s="18" t="s">
        <v>30</v>
      </c>
      <c r="Q81" s="18"/>
      <c r="R81" s="18" t="b">
        <v>1</v>
      </c>
      <c r="S81" s="18"/>
      <c r="T81" s="18"/>
      <c r="U81" s="18"/>
      <c r="V81" s="18"/>
      <c r="W81" s="49"/>
      <c r="X81" s="18">
        <v>50</v>
      </c>
      <c r="Y81" s="18" t="s">
        <v>30</v>
      </c>
      <c r="Z81" s="18" t="s">
        <v>31</v>
      </c>
      <c r="AA81" s="18"/>
      <c r="AB81" s="18" t="b">
        <v>1</v>
      </c>
      <c r="AC81" s="18"/>
      <c r="AD81" s="18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18"/>
      <c r="AL81" s="18" t="b">
        <v>1</v>
      </c>
      <c r="AM81" s="18"/>
      <c r="AN81" s="18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18"/>
      <c r="AV81" s="18" t="b">
        <v>1</v>
      </c>
      <c r="AW81" s="18"/>
      <c r="AX81" s="18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18"/>
      <c r="BF81" s="18" t="b">
        <v>1</v>
      </c>
      <c r="BG81" s="18"/>
      <c r="BH81" s="18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18"/>
      <c r="BP81" s="18" t="b">
        <v>1</v>
      </c>
      <c r="BQ81" s="18"/>
      <c r="BR81" s="18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18"/>
      <c r="BZ81" s="18" t="b">
        <v>1</v>
      </c>
      <c r="CA81" s="18"/>
      <c r="CB81" s="18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8"/>
      <c r="G82" s="18"/>
      <c r="H82" s="18" t="b">
        <v>1</v>
      </c>
      <c r="I82" s="18"/>
      <c r="J82" s="18"/>
      <c r="K82" s="18"/>
      <c r="L82" s="18"/>
      <c r="M82" s="49"/>
      <c r="N82" s="72">
        <v>53</v>
      </c>
      <c r="O82" s="18" t="s">
        <v>29</v>
      </c>
      <c r="P82" s="18" t="s">
        <v>30</v>
      </c>
      <c r="Q82" s="18"/>
      <c r="R82" s="18" t="b">
        <v>1</v>
      </c>
      <c r="S82" s="18"/>
      <c r="T82" s="18"/>
      <c r="U82" s="18"/>
      <c r="V82" s="18"/>
      <c r="W82" s="49"/>
      <c r="X82" s="18">
        <v>53</v>
      </c>
      <c r="Y82" s="18" t="s">
        <v>30</v>
      </c>
      <c r="Z82" s="18" t="s">
        <v>31</v>
      </c>
      <c r="AA82" s="18"/>
      <c r="AB82" s="18" t="b">
        <v>1</v>
      </c>
      <c r="AC82" s="18"/>
      <c r="AD82" s="18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18"/>
      <c r="AL82" s="18" t="b">
        <v>1</v>
      </c>
      <c r="AM82" s="18"/>
      <c r="AN82" s="18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18"/>
      <c r="AV82" s="18" t="b">
        <v>1</v>
      </c>
      <c r="AW82" s="18"/>
      <c r="AX82" s="18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18"/>
      <c r="BF82" s="18" t="b">
        <v>1</v>
      </c>
      <c r="BG82" s="18"/>
      <c r="BH82" s="18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18"/>
      <c r="BP82" s="18" t="b">
        <v>1</v>
      </c>
      <c r="BQ82" s="18"/>
      <c r="BR82" s="18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18"/>
      <c r="BZ82" s="18" t="b">
        <v>1</v>
      </c>
      <c r="CA82" s="18"/>
      <c r="CB82" s="18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/>
      <c r="K83" s="18"/>
      <c r="L83" s="18"/>
      <c r="M83" s="49"/>
      <c r="N83" s="72">
        <v>54</v>
      </c>
      <c r="O83" s="18" t="s">
        <v>29</v>
      </c>
      <c r="P83" s="18" t="s">
        <v>30</v>
      </c>
      <c r="Q83" s="18"/>
      <c r="R83" s="18" t="b">
        <v>1</v>
      </c>
      <c r="S83" s="18"/>
      <c r="T83" s="18"/>
      <c r="U83" s="18"/>
      <c r="V83" s="18"/>
      <c r="W83" s="49"/>
      <c r="X83" s="18">
        <v>54</v>
      </c>
      <c r="Y83" s="18" t="s">
        <v>30</v>
      </c>
      <c r="Z83" s="18" t="s">
        <v>31</v>
      </c>
      <c r="AA83" s="18">
        <v>1.9401718539999999</v>
      </c>
      <c r="AB83" s="18" t="b">
        <v>0</v>
      </c>
      <c r="AC83" s="18">
        <v>2.0667824270000001</v>
      </c>
      <c r="AD83" s="18">
        <v>1.813561282</v>
      </c>
      <c r="AE83" s="18">
        <v>0</v>
      </c>
      <c r="AF83" s="18">
        <v>0</v>
      </c>
      <c r="AG83" s="18">
        <v>0</v>
      </c>
      <c r="AH83" s="72">
        <v>54</v>
      </c>
      <c r="AI83" s="18" t="s">
        <v>31</v>
      </c>
      <c r="AJ83" s="18" t="s">
        <v>32</v>
      </c>
      <c r="AK83" s="18">
        <v>1.928445585</v>
      </c>
      <c r="AL83" s="18" t="b">
        <v>0</v>
      </c>
      <c r="AM83" s="18">
        <v>2.4623734590000002</v>
      </c>
      <c r="AN83" s="18">
        <v>1.394517711</v>
      </c>
      <c r="AO83" s="18">
        <v>0</v>
      </c>
      <c r="AP83" s="18">
        <v>0</v>
      </c>
      <c r="AQ83" s="49">
        <v>0</v>
      </c>
      <c r="AR83" s="18">
        <v>54</v>
      </c>
      <c r="AS83" s="18" t="s">
        <v>32</v>
      </c>
      <c r="AT83" s="18" t="s">
        <v>33</v>
      </c>
      <c r="AU83" s="18">
        <v>1.21601183</v>
      </c>
      <c r="AV83" s="18" t="b">
        <v>0</v>
      </c>
      <c r="AW83" s="18">
        <v>1.7336358860000001</v>
      </c>
      <c r="AX83" s="18">
        <v>0.69838777299999999</v>
      </c>
      <c r="AY83" s="18">
        <v>0</v>
      </c>
      <c r="AZ83" s="18">
        <v>0</v>
      </c>
      <c r="BA83" s="49">
        <v>0</v>
      </c>
      <c r="BB83" s="72">
        <v>54</v>
      </c>
      <c r="BC83" s="18" t="s">
        <v>33</v>
      </c>
      <c r="BD83" s="18" t="s">
        <v>34</v>
      </c>
      <c r="BE83" s="18"/>
      <c r="BF83" s="18" t="b">
        <v>1</v>
      </c>
      <c r="BG83" s="18"/>
      <c r="BH83" s="18"/>
      <c r="BI83" s="18"/>
      <c r="BJ83" s="18"/>
      <c r="BK83" s="49"/>
      <c r="BL83" s="18">
        <v>54</v>
      </c>
      <c r="BM83" s="18" t="s">
        <v>34</v>
      </c>
      <c r="BN83" s="18" t="s">
        <v>35</v>
      </c>
      <c r="BO83" s="18"/>
      <c r="BP83" s="18" t="b">
        <v>1</v>
      </c>
      <c r="BQ83" s="18"/>
      <c r="BR83" s="18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18"/>
      <c r="BZ83" s="18" t="b">
        <v>1</v>
      </c>
      <c r="CA83" s="18"/>
      <c r="CB83" s="18"/>
      <c r="CC83" s="18"/>
      <c r="CD83" s="18"/>
      <c r="CE83" s="18"/>
    </row>
    <row r="84" spans="1:83" x14ac:dyDescent="0.25">
      <c r="A84" s="18">
        <v>55</v>
      </c>
      <c r="B84" s="18">
        <v>45</v>
      </c>
      <c r="C84" s="18">
        <v>55</v>
      </c>
      <c r="D84" s="72" t="s">
        <v>28</v>
      </c>
      <c r="E84" s="18" t="s">
        <v>29</v>
      </c>
      <c r="F84" s="18">
        <v>1.0340875650000001</v>
      </c>
      <c r="G84" s="18"/>
      <c r="H84" s="18" t="b">
        <v>0</v>
      </c>
      <c r="I84" s="18">
        <v>1.7686867070000001</v>
      </c>
      <c r="J84" s="18">
        <v>0.29948842199999998</v>
      </c>
      <c r="K84" s="18">
        <v>0</v>
      </c>
      <c r="L84" s="18">
        <v>0</v>
      </c>
      <c r="M84" s="49">
        <v>0</v>
      </c>
      <c r="N84" s="72">
        <v>55</v>
      </c>
      <c r="O84" s="18" t="s">
        <v>29</v>
      </c>
      <c r="P84" s="18" t="s">
        <v>30</v>
      </c>
      <c r="Q84" s="18"/>
      <c r="R84" s="18" t="b">
        <v>1</v>
      </c>
      <c r="S84" s="18"/>
      <c r="T84" s="18"/>
      <c r="U84" s="18"/>
      <c r="V84" s="18"/>
      <c r="W84" s="49"/>
      <c r="X84" s="18">
        <v>55</v>
      </c>
      <c r="Y84" s="18" t="s">
        <v>30</v>
      </c>
      <c r="Z84" s="18" t="s">
        <v>31</v>
      </c>
      <c r="AA84" s="18"/>
      <c r="AB84" s="18" t="b">
        <v>1</v>
      </c>
      <c r="AC84" s="18"/>
      <c r="AD84" s="18"/>
      <c r="AE84" s="18"/>
      <c r="AF84" s="18"/>
      <c r="AG84" s="18"/>
      <c r="AH84" s="72">
        <v>55</v>
      </c>
      <c r="AI84" s="18" t="s">
        <v>31</v>
      </c>
      <c r="AJ84" s="18" t="s">
        <v>32</v>
      </c>
      <c r="AK84" s="18">
        <v>5.5436036000000001E-2</v>
      </c>
      <c r="AL84" s="18" t="b">
        <v>0</v>
      </c>
      <c r="AM84" s="18">
        <v>0.164022731</v>
      </c>
      <c r="AN84" s="18">
        <v>0</v>
      </c>
      <c r="AO84" s="18">
        <v>0</v>
      </c>
      <c r="AP84" s="18">
        <v>0</v>
      </c>
      <c r="AQ84" s="49">
        <v>0</v>
      </c>
      <c r="AR84" s="18">
        <v>55</v>
      </c>
      <c r="AS84" s="18" t="s">
        <v>32</v>
      </c>
      <c r="AT84" s="18" t="s">
        <v>33</v>
      </c>
      <c r="AU84" s="18">
        <v>3.0941394000000001E-2</v>
      </c>
      <c r="AV84" s="18" t="b">
        <v>0</v>
      </c>
      <c r="AW84" s="18">
        <v>0.30724003100000002</v>
      </c>
      <c r="AX84" s="18">
        <v>0</v>
      </c>
      <c r="AY84" s="18">
        <v>0</v>
      </c>
      <c r="AZ84" s="18">
        <v>0</v>
      </c>
      <c r="BA84" s="49">
        <v>0</v>
      </c>
      <c r="BB84" s="72">
        <v>55</v>
      </c>
      <c r="BC84" s="18" t="s">
        <v>33</v>
      </c>
      <c r="BD84" s="18" t="s">
        <v>34</v>
      </c>
      <c r="BE84" s="18">
        <v>0.96535968900000002</v>
      </c>
      <c r="BF84" s="18" t="b">
        <v>0</v>
      </c>
      <c r="BG84" s="18">
        <v>1.2876137169999999</v>
      </c>
      <c r="BH84" s="18">
        <v>0.643105661</v>
      </c>
      <c r="BI84" s="18">
        <v>0</v>
      </c>
      <c r="BJ84" s="18">
        <v>0</v>
      </c>
      <c r="BK84" s="49">
        <v>0</v>
      </c>
      <c r="BL84" s="18">
        <v>55</v>
      </c>
      <c r="BM84" s="18" t="s">
        <v>34</v>
      </c>
      <c r="BN84" s="18" t="s">
        <v>35</v>
      </c>
      <c r="BO84" s="18">
        <v>0.28019398200000001</v>
      </c>
      <c r="BP84" s="18" t="b">
        <v>1</v>
      </c>
      <c r="BQ84" s="18">
        <v>0.56147252800000003</v>
      </c>
      <c r="BR84" s="18">
        <v>0</v>
      </c>
      <c r="BS84" s="19">
        <v>1.5E-5</v>
      </c>
      <c r="BT84" s="18">
        <v>1.1570490000000001E-3</v>
      </c>
      <c r="BU84" s="49">
        <v>1.01054E-4</v>
      </c>
      <c r="BV84" s="18">
        <v>55</v>
      </c>
      <c r="BW84" s="18" t="s">
        <v>35</v>
      </c>
      <c r="BX84" s="18" t="s">
        <v>36</v>
      </c>
      <c r="BY84" s="18"/>
      <c r="BZ84" s="18" t="b">
        <v>1</v>
      </c>
      <c r="CA84" s="18"/>
      <c r="CB84" s="18"/>
      <c r="CC84" s="18"/>
      <c r="CD84" s="18"/>
      <c r="CE84" s="18"/>
    </row>
    <row r="85" spans="1:83" x14ac:dyDescent="0.25">
      <c r="A85" s="18">
        <v>57</v>
      </c>
      <c r="B85" s="18">
        <v>45</v>
      </c>
      <c r="C85" s="18">
        <v>57</v>
      </c>
      <c r="D85" s="72" t="s">
        <v>28</v>
      </c>
      <c r="E85" s="18" t="s">
        <v>29</v>
      </c>
      <c r="F85" s="18">
        <v>0.26041141699999998</v>
      </c>
      <c r="G85" s="18"/>
      <c r="H85" s="18" t="b">
        <v>0</v>
      </c>
      <c r="I85" s="18">
        <v>0.63018347100000005</v>
      </c>
      <c r="J85" s="18">
        <v>0</v>
      </c>
      <c r="K85" s="18">
        <v>0</v>
      </c>
      <c r="L85" s="18">
        <v>0</v>
      </c>
      <c r="M85" s="49">
        <v>0</v>
      </c>
      <c r="N85" s="72">
        <v>57</v>
      </c>
      <c r="O85" s="18" t="s">
        <v>29</v>
      </c>
      <c r="P85" s="18" t="s">
        <v>30</v>
      </c>
      <c r="Q85" s="18">
        <v>0.20441073500000001</v>
      </c>
      <c r="R85" s="18" t="b">
        <v>0</v>
      </c>
      <c r="S85" s="18">
        <v>0.61718589300000004</v>
      </c>
      <c r="T85" s="18">
        <v>0</v>
      </c>
      <c r="U85" s="18">
        <v>0</v>
      </c>
      <c r="V85" s="18">
        <v>0</v>
      </c>
      <c r="W85" s="49">
        <v>0</v>
      </c>
      <c r="X85" s="18">
        <v>57</v>
      </c>
      <c r="Y85" s="18" t="s">
        <v>30</v>
      </c>
      <c r="Z85" s="18" t="s">
        <v>31</v>
      </c>
      <c r="AA85" s="18">
        <v>6.7551585999999997E-2</v>
      </c>
      <c r="AB85" s="18" t="b">
        <v>0</v>
      </c>
      <c r="AC85" s="18">
        <v>0.15144782800000001</v>
      </c>
      <c r="AD85" s="18">
        <v>0</v>
      </c>
      <c r="AE85" s="18">
        <v>0</v>
      </c>
      <c r="AF85" s="18">
        <v>0</v>
      </c>
      <c r="AG85" s="18">
        <v>0</v>
      </c>
      <c r="AH85" s="72">
        <v>57</v>
      </c>
      <c r="AI85" s="18" t="s">
        <v>31</v>
      </c>
      <c r="AJ85" s="18" t="s">
        <v>32</v>
      </c>
      <c r="AK85" s="18">
        <v>0.104428732</v>
      </c>
      <c r="AL85" s="18" t="b">
        <v>0</v>
      </c>
      <c r="AM85" s="18">
        <v>0.13853774599999999</v>
      </c>
      <c r="AN85" s="18">
        <v>7.0319718000000003E-2</v>
      </c>
      <c r="AO85" s="18">
        <v>0</v>
      </c>
      <c r="AP85" s="18">
        <v>0</v>
      </c>
      <c r="AQ85" s="49">
        <v>0</v>
      </c>
      <c r="AR85" s="18">
        <v>57</v>
      </c>
      <c r="AS85" s="18" t="s">
        <v>32</v>
      </c>
      <c r="AT85" s="18" t="s">
        <v>33</v>
      </c>
      <c r="AU85" s="18">
        <v>3.4769724000000002E-2</v>
      </c>
      <c r="AV85" s="18" t="b">
        <v>1</v>
      </c>
      <c r="AW85" s="18">
        <v>7.0059337999999999E-2</v>
      </c>
      <c r="AX85" s="18">
        <v>0</v>
      </c>
      <c r="AY85" s="19">
        <v>1.26E-6</v>
      </c>
      <c r="AZ85" s="18">
        <v>3.0051270000000001E-2</v>
      </c>
      <c r="BA85" s="49">
        <v>3.99231E-4</v>
      </c>
      <c r="BB85" s="72">
        <v>57</v>
      </c>
      <c r="BC85" s="18" t="s">
        <v>33</v>
      </c>
      <c r="BD85" s="18" t="s">
        <v>34</v>
      </c>
      <c r="BE85" s="18">
        <v>0.55812211499999997</v>
      </c>
      <c r="BF85" s="18" t="b">
        <v>0</v>
      </c>
      <c r="BG85" s="18">
        <v>0.69831481399999995</v>
      </c>
      <c r="BH85" s="18">
        <v>0.41792941700000003</v>
      </c>
      <c r="BI85" s="18">
        <v>0</v>
      </c>
      <c r="BJ85" s="18">
        <v>0</v>
      </c>
      <c r="BK85" s="49">
        <v>0</v>
      </c>
      <c r="BL85" s="18">
        <v>57</v>
      </c>
      <c r="BM85" s="18" t="s">
        <v>34</v>
      </c>
      <c r="BN85" s="18" t="s">
        <v>35</v>
      </c>
      <c r="BO85" s="18">
        <v>4.3902914000000001E-2</v>
      </c>
      <c r="BP85" s="18" t="b">
        <v>0</v>
      </c>
      <c r="BQ85" s="18">
        <v>0.19767235</v>
      </c>
      <c r="BR85" s="18">
        <v>0</v>
      </c>
      <c r="BS85" s="18">
        <v>0</v>
      </c>
      <c r="BT85" s="18">
        <v>0</v>
      </c>
      <c r="BU85" s="49">
        <v>0</v>
      </c>
      <c r="BV85" s="18">
        <v>57</v>
      </c>
      <c r="BW85" s="18" t="s">
        <v>35</v>
      </c>
      <c r="BX85" s="18" t="s">
        <v>36</v>
      </c>
      <c r="BY85" s="18"/>
      <c r="BZ85" s="18" t="b">
        <v>1</v>
      </c>
      <c r="CA85" s="18"/>
      <c r="CB85" s="18"/>
      <c r="CC85" s="18"/>
      <c r="CD85" s="18"/>
      <c r="CE85" s="18"/>
    </row>
    <row r="86" spans="1:83" x14ac:dyDescent="0.25">
      <c r="A86" s="18">
        <v>59</v>
      </c>
      <c r="B86" s="18">
        <v>45</v>
      </c>
      <c r="C86" s="18">
        <v>59</v>
      </c>
      <c r="D86" s="72" t="s">
        <v>28</v>
      </c>
      <c r="E86" s="18" t="s">
        <v>29</v>
      </c>
      <c r="F86" s="18">
        <v>0.31523373500000001</v>
      </c>
      <c r="G86" s="18"/>
      <c r="H86" s="18" t="b">
        <v>1</v>
      </c>
      <c r="I86" s="18">
        <v>0.80230094100000005</v>
      </c>
      <c r="J86" s="18">
        <v>0</v>
      </c>
      <c r="K86" s="18">
        <v>4.3634603000000001E-2</v>
      </c>
      <c r="L86" s="18">
        <v>0.31240408400000003</v>
      </c>
      <c r="M86" s="49">
        <v>0.18205091300000001</v>
      </c>
      <c r="N86" s="72">
        <v>59</v>
      </c>
      <c r="O86" s="18" t="s">
        <v>29</v>
      </c>
      <c r="P86" s="18" t="s">
        <v>30</v>
      </c>
      <c r="Q86" s="18"/>
      <c r="R86" s="18" t="b">
        <v>1</v>
      </c>
      <c r="S86" s="18"/>
      <c r="T86" s="18"/>
      <c r="U86" s="18"/>
      <c r="V86" s="18"/>
      <c r="W86" s="49"/>
      <c r="X86" s="18">
        <v>59</v>
      </c>
      <c r="Y86" s="18" t="s">
        <v>30</v>
      </c>
      <c r="Z86" s="18" t="s">
        <v>31</v>
      </c>
      <c r="AA86" s="18"/>
      <c r="AB86" s="18" t="b">
        <v>1</v>
      </c>
      <c r="AC86" s="18"/>
      <c r="AD86" s="18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18"/>
      <c r="AL86" s="18" t="b">
        <v>1</v>
      </c>
      <c r="AM86" s="18"/>
      <c r="AN86" s="18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18"/>
      <c r="AV86" s="18" t="b">
        <v>1</v>
      </c>
      <c r="AW86" s="18"/>
      <c r="AX86" s="18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18"/>
      <c r="BF86" s="18" t="b">
        <v>1</v>
      </c>
      <c r="BG86" s="18"/>
      <c r="BH86" s="18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18"/>
      <c r="BP86" s="18" t="b">
        <v>1</v>
      </c>
      <c r="BQ86" s="18"/>
      <c r="BR86" s="18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18"/>
      <c r="BZ86" s="18" t="b">
        <v>1</v>
      </c>
      <c r="CA86" s="18"/>
      <c r="CB86" s="18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/>
      <c r="K87" s="18"/>
      <c r="L87" s="18"/>
      <c r="M87" s="49"/>
      <c r="N87" s="72">
        <v>60</v>
      </c>
      <c r="O87" s="18" t="s">
        <v>29</v>
      </c>
      <c r="P87" s="18" t="s">
        <v>30</v>
      </c>
      <c r="Q87" s="18">
        <v>0.141504621</v>
      </c>
      <c r="R87" s="18" t="b">
        <v>0</v>
      </c>
      <c r="S87" s="18">
        <v>0.26020108600000003</v>
      </c>
      <c r="T87" s="18">
        <v>2.2808156E-2</v>
      </c>
      <c r="U87" s="18">
        <v>0</v>
      </c>
      <c r="V87" s="18">
        <v>0</v>
      </c>
      <c r="W87" s="49">
        <v>0</v>
      </c>
      <c r="X87" s="18">
        <v>60</v>
      </c>
      <c r="Y87" s="18" t="s">
        <v>30</v>
      </c>
      <c r="Z87" s="18" t="s">
        <v>31</v>
      </c>
      <c r="AA87" s="18">
        <v>4.0212921999999998E-2</v>
      </c>
      <c r="AB87" s="18" t="b">
        <v>1</v>
      </c>
      <c r="AC87" s="18">
        <v>0.142421619</v>
      </c>
      <c r="AD87" s="18">
        <v>0</v>
      </c>
      <c r="AE87" s="18">
        <v>3.0187119999999998E-3</v>
      </c>
      <c r="AF87" s="18">
        <v>0.999999941</v>
      </c>
      <c r="AG87" s="18">
        <v>0.18948870500000001</v>
      </c>
      <c r="AH87" s="72">
        <v>60</v>
      </c>
      <c r="AI87" s="18" t="s">
        <v>31</v>
      </c>
      <c r="AJ87" s="18" t="s">
        <v>32</v>
      </c>
      <c r="AK87" s="18">
        <v>5.1411726999999997E-2</v>
      </c>
      <c r="AL87" s="18" t="b">
        <v>1</v>
      </c>
      <c r="AM87" s="18">
        <v>0.21037488200000001</v>
      </c>
      <c r="AN87" s="18">
        <v>0</v>
      </c>
      <c r="AO87" s="18">
        <v>1.1585026999999999E-2</v>
      </c>
      <c r="AP87" s="18">
        <v>0.72720804299999997</v>
      </c>
      <c r="AQ87" s="49">
        <v>0.47888033000000002</v>
      </c>
      <c r="AR87" s="18">
        <v>60</v>
      </c>
      <c r="AS87" s="18" t="s">
        <v>32</v>
      </c>
      <c r="AT87" s="18" t="s">
        <v>33</v>
      </c>
      <c r="AU87" s="18"/>
      <c r="AV87" s="18" t="b">
        <v>1</v>
      </c>
      <c r="AW87" s="18"/>
      <c r="AX87" s="18"/>
      <c r="AY87" s="18"/>
      <c r="AZ87" s="18"/>
      <c r="BA87" s="49"/>
      <c r="BB87" s="72">
        <v>60</v>
      </c>
      <c r="BC87" s="18" t="s">
        <v>33</v>
      </c>
      <c r="BD87" s="18" t="s">
        <v>34</v>
      </c>
      <c r="BE87" s="18"/>
      <c r="BF87" s="18" t="b">
        <v>1</v>
      </c>
      <c r="BG87" s="18"/>
      <c r="BH87" s="18"/>
      <c r="BI87" s="18"/>
      <c r="BJ87" s="18"/>
      <c r="BK87" s="49"/>
      <c r="BL87" s="18">
        <v>60</v>
      </c>
      <c r="BM87" s="18" t="s">
        <v>34</v>
      </c>
      <c r="BN87" s="18" t="s">
        <v>35</v>
      </c>
      <c r="BO87" s="18">
        <v>1.217612438</v>
      </c>
      <c r="BP87" s="18" t="b">
        <v>0</v>
      </c>
      <c r="BQ87" s="18">
        <v>2.3773998679999999</v>
      </c>
      <c r="BR87" s="18">
        <v>5.7825007999999997E-2</v>
      </c>
      <c r="BS87" s="18">
        <v>0</v>
      </c>
      <c r="BT87" s="18">
        <v>0</v>
      </c>
      <c r="BU87" s="49">
        <v>0</v>
      </c>
      <c r="BV87" s="18">
        <v>60</v>
      </c>
      <c r="BW87" s="18" t="s">
        <v>35</v>
      </c>
      <c r="BX87" s="18" t="s">
        <v>36</v>
      </c>
      <c r="BY87" s="18"/>
      <c r="BZ87" s="18" t="b">
        <v>1</v>
      </c>
      <c r="CA87" s="18"/>
      <c r="CB87" s="18"/>
      <c r="CC87" s="18"/>
      <c r="CD87" s="18"/>
      <c r="CE87" s="18"/>
    </row>
    <row r="88" spans="1:83" x14ac:dyDescent="0.25">
      <c r="A88" s="18">
        <v>66</v>
      </c>
      <c r="B88" s="18">
        <v>45</v>
      </c>
      <c r="C88" s="18">
        <v>66</v>
      </c>
      <c r="D88" s="72" t="s">
        <v>28</v>
      </c>
      <c r="E88" s="18" t="s">
        <v>29</v>
      </c>
      <c r="F88" s="18">
        <v>1.7888297369999999</v>
      </c>
      <c r="G88" s="18"/>
      <c r="H88" s="18" t="b">
        <v>0</v>
      </c>
      <c r="I88" s="18">
        <v>1.9379698400000001</v>
      </c>
      <c r="J88" s="18">
        <v>1.639689634</v>
      </c>
      <c r="K88" s="18">
        <v>0</v>
      </c>
      <c r="L88" s="18">
        <v>0</v>
      </c>
      <c r="M88" s="49">
        <v>0</v>
      </c>
      <c r="N88" s="72">
        <v>66</v>
      </c>
      <c r="O88" s="18" t="s">
        <v>29</v>
      </c>
      <c r="P88" s="18" t="s">
        <v>30</v>
      </c>
      <c r="Q88" s="18"/>
      <c r="R88" s="18" t="b">
        <v>1</v>
      </c>
      <c r="S88" s="18"/>
      <c r="T88" s="18"/>
      <c r="U88" s="18"/>
      <c r="V88" s="18"/>
      <c r="W88" s="49"/>
      <c r="X88" s="18">
        <v>66</v>
      </c>
      <c r="Y88" s="18" t="s">
        <v>30</v>
      </c>
      <c r="Z88" s="18" t="s">
        <v>31</v>
      </c>
      <c r="AA88" s="18"/>
      <c r="AB88" s="18" t="b">
        <v>1</v>
      </c>
      <c r="AC88" s="18"/>
      <c r="AD88" s="18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18"/>
      <c r="AL88" s="18" t="b">
        <v>1</v>
      </c>
      <c r="AM88" s="18"/>
      <c r="AN88" s="18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18"/>
      <c r="AV88" s="18" t="b">
        <v>1</v>
      </c>
      <c r="AW88" s="18"/>
      <c r="AX88" s="18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18"/>
      <c r="BF88" s="18" t="b">
        <v>1</v>
      </c>
      <c r="BG88" s="18"/>
      <c r="BH88" s="18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18"/>
      <c r="BP88" s="18" t="b">
        <v>1</v>
      </c>
      <c r="BQ88" s="18"/>
      <c r="BR88" s="18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18"/>
      <c r="BZ88" s="18" t="b">
        <v>1</v>
      </c>
      <c r="CA88" s="18"/>
      <c r="CB88" s="18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8"/>
      <c r="G89" s="18"/>
      <c r="H89" s="18" t="b">
        <v>1</v>
      </c>
      <c r="I89" s="18"/>
      <c r="J89" s="18"/>
      <c r="K89" s="18"/>
      <c r="L89" s="18"/>
      <c r="M89" s="49"/>
      <c r="N89" s="72">
        <v>68</v>
      </c>
      <c r="O89" s="18" t="s">
        <v>29</v>
      </c>
      <c r="P89" s="18" t="s">
        <v>30</v>
      </c>
      <c r="Q89" s="18"/>
      <c r="R89" s="18" t="b">
        <v>1</v>
      </c>
      <c r="S89" s="18"/>
      <c r="T89" s="18"/>
      <c r="U89" s="18"/>
      <c r="V89" s="18"/>
      <c r="W89" s="49"/>
      <c r="X89" s="18">
        <v>68</v>
      </c>
      <c r="Y89" s="18" t="s">
        <v>30</v>
      </c>
      <c r="Z89" s="18" t="s">
        <v>31</v>
      </c>
      <c r="AA89" s="18"/>
      <c r="AB89" s="18" t="b">
        <v>1</v>
      </c>
      <c r="AC89" s="18"/>
      <c r="AD89" s="18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18"/>
      <c r="AL89" s="18" t="b">
        <v>1</v>
      </c>
      <c r="AM89" s="18"/>
      <c r="AN89" s="18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18"/>
      <c r="AV89" s="18" t="b">
        <v>1</v>
      </c>
      <c r="AW89" s="18"/>
      <c r="AX89" s="18"/>
      <c r="AY89" s="18"/>
      <c r="AZ89" s="18"/>
      <c r="BA89" s="49"/>
      <c r="BB89" s="72">
        <v>68</v>
      </c>
      <c r="BC89" s="18" t="s">
        <v>33</v>
      </c>
      <c r="BD89" s="18" t="s">
        <v>34</v>
      </c>
      <c r="BE89" s="18">
        <v>2.3401177720000002</v>
      </c>
      <c r="BF89" s="18" t="b">
        <v>0</v>
      </c>
      <c r="BG89" s="18">
        <v>2.6935151510000002</v>
      </c>
      <c r="BH89" s="18">
        <v>1.9867203929999999</v>
      </c>
      <c r="BI89" s="18">
        <v>0</v>
      </c>
      <c r="BJ89" s="18">
        <v>0</v>
      </c>
      <c r="BK89" s="49">
        <v>0</v>
      </c>
      <c r="BL89" s="18">
        <v>68</v>
      </c>
      <c r="BM89" s="18" t="s">
        <v>34</v>
      </c>
      <c r="BN89" s="18" t="s">
        <v>35</v>
      </c>
      <c r="BO89" s="18"/>
      <c r="BP89" s="18" t="b">
        <v>1</v>
      </c>
      <c r="BQ89" s="18"/>
      <c r="BR89" s="18"/>
      <c r="BS89" s="18"/>
      <c r="BT89" s="18"/>
      <c r="BU89" s="49"/>
      <c r="BV89" s="18">
        <v>68</v>
      </c>
      <c r="BW89" s="18" t="s">
        <v>35</v>
      </c>
      <c r="BX89" s="18" t="s">
        <v>36</v>
      </c>
      <c r="BY89" s="18"/>
      <c r="BZ89" s="18" t="b">
        <v>1</v>
      </c>
      <c r="CA89" s="18"/>
      <c r="CB89" s="18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8"/>
      <c r="G90" s="18"/>
      <c r="H90" s="18" t="b">
        <v>1</v>
      </c>
      <c r="I90" s="18"/>
      <c r="J90" s="18"/>
      <c r="K90" s="18"/>
      <c r="L90" s="18"/>
      <c r="M90" s="49"/>
      <c r="N90" s="72">
        <v>89</v>
      </c>
      <c r="O90" s="18" t="s">
        <v>29</v>
      </c>
      <c r="P90" s="18" t="s">
        <v>30</v>
      </c>
      <c r="Q90" s="18"/>
      <c r="R90" s="18" t="b">
        <v>1</v>
      </c>
      <c r="S90" s="18"/>
      <c r="T90" s="18"/>
      <c r="U90" s="18"/>
      <c r="V90" s="18"/>
      <c r="W90" s="49"/>
      <c r="X90" s="18">
        <v>89</v>
      </c>
      <c r="Y90" s="18" t="s">
        <v>30</v>
      </c>
      <c r="Z90" s="18" t="s">
        <v>31</v>
      </c>
      <c r="AA90" s="18"/>
      <c r="AB90" s="18" t="b">
        <v>1</v>
      </c>
      <c r="AC90" s="18"/>
      <c r="AD90" s="18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18"/>
      <c r="AL90" s="18" t="b">
        <v>1</v>
      </c>
      <c r="AM90" s="18"/>
      <c r="AN90" s="18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18"/>
      <c r="AV90" s="18" t="b">
        <v>1</v>
      </c>
      <c r="AW90" s="18"/>
      <c r="AX90" s="18"/>
      <c r="AY90" s="18"/>
      <c r="AZ90" s="18"/>
      <c r="BA90" s="49"/>
      <c r="BB90" s="72">
        <v>89</v>
      </c>
      <c r="BC90" s="18" t="s">
        <v>33</v>
      </c>
      <c r="BD90" s="18" t="s">
        <v>34</v>
      </c>
      <c r="BE90" s="18">
        <v>0.212810158</v>
      </c>
      <c r="BF90" s="18" t="b">
        <v>1</v>
      </c>
      <c r="BG90" s="18">
        <v>0.62405242900000002</v>
      </c>
      <c r="BH90" s="18">
        <v>0</v>
      </c>
      <c r="BI90" s="18">
        <v>4.9188256E-2</v>
      </c>
      <c r="BJ90" s="18">
        <v>0.42060713599999999</v>
      </c>
      <c r="BK90" s="49">
        <v>0.32853869899999999</v>
      </c>
      <c r="BL90" s="18">
        <v>89</v>
      </c>
      <c r="BM90" s="18" t="s">
        <v>34</v>
      </c>
      <c r="BN90" s="18" t="s">
        <v>35</v>
      </c>
      <c r="BO90" s="18">
        <v>0.14363177899999999</v>
      </c>
      <c r="BP90" s="18" t="b">
        <v>1</v>
      </c>
      <c r="BQ90" s="18">
        <v>0.46163138999999997</v>
      </c>
      <c r="BR90" s="18">
        <v>0</v>
      </c>
      <c r="BS90" s="18">
        <v>3.326747E-2</v>
      </c>
      <c r="BT90" s="18">
        <v>0.67705022100000001</v>
      </c>
      <c r="BU90" s="49">
        <v>0.28446902200000002</v>
      </c>
      <c r="BV90" s="18">
        <v>89</v>
      </c>
      <c r="BW90" s="18" t="s">
        <v>35</v>
      </c>
      <c r="BX90" s="18" t="s">
        <v>36</v>
      </c>
      <c r="BY90" s="18">
        <v>2.7901108689999998</v>
      </c>
      <c r="BZ90" s="18" t="b">
        <v>0</v>
      </c>
      <c r="CA90" s="18">
        <v>4.5304516850000001</v>
      </c>
      <c r="CB90" s="18">
        <v>1.049770052</v>
      </c>
      <c r="CC90" s="18">
        <v>0</v>
      </c>
      <c r="CD90" s="18">
        <v>0</v>
      </c>
      <c r="CE90" s="18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/>
      <c r="K91" s="18"/>
      <c r="L91" s="18"/>
      <c r="M91" s="49"/>
      <c r="N91" s="72">
        <v>91</v>
      </c>
      <c r="O91" s="18" t="s">
        <v>29</v>
      </c>
      <c r="P91" s="18" t="s">
        <v>30</v>
      </c>
      <c r="Q91" s="18"/>
      <c r="R91" s="18" t="b">
        <v>1</v>
      </c>
      <c r="S91" s="18"/>
      <c r="T91" s="18"/>
      <c r="U91" s="18"/>
      <c r="V91" s="18"/>
      <c r="W91" s="49"/>
      <c r="X91" s="18">
        <v>91</v>
      </c>
      <c r="Y91" s="18" t="s">
        <v>30</v>
      </c>
      <c r="Z91" s="18" t="s">
        <v>31</v>
      </c>
      <c r="AA91" s="18"/>
      <c r="AB91" s="18" t="b">
        <v>1</v>
      </c>
      <c r="AC91" s="18"/>
      <c r="AD91" s="18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18"/>
      <c r="AL91" s="18" t="b">
        <v>1</v>
      </c>
      <c r="AM91" s="18"/>
      <c r="AN91" s="18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18"/>
      <c r="AV91" s="18" t="b">
        <v>1</v>
      </c>
      <c r="AW91" s="18"/>
      <c r="AX91" s="18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18"/>
      <c r="BF91" s="18" t="b">
        <v>1</v>
      </c>
      <c r="BG91" s="18"/>
      <c r="BH91" s="18"/>
      <c r="BI91" s="18"/>
      <c r="BJ91" s="18"/>
      <c r="BK91" s="49"/>
      <c r="BL91" s="18">
        <v>91</v>
      </c>
      <c r="BM91" s="18" t="s">
        <v>34</v>
      </c>
      <c r="BN91" s="18" t="s">
        <v>35</v>
      </c>
      <c r="BO91" s="18">
        <v>9.9479700000000004E-2</v>
      </c>
      <c r="BP91" s="18" t="b">
        <v>0</v>
      </c>
      <c r="BQ91" s="18">
        <v>1.09912839</v>
      </c>
      <c r="BR91" s="18">
        <v>0</v>
      </c>
      <c r="BS91" s="18">
        <v>0</v>
      </c>
      <c r="BT91" s="18">
        <v>0</v>
      </c>
      <c r="BU91" s="49">
        <v>0</v>
      </c>
      <c r="BV91" s="18">
        <v>91</v>
      </c>
      <c r="BW91" s="18" t="s">
        <v>35</v>
      </c>
      <c r="BX91" s="18" t="s">
        <v>36</v>
      </c>
      <c r="BY91" s="18">
        <v>5.2758631E-2</v>
      </c>
      <c r="BZ91" s="18" t="b">
        <v>0</v>
      </c>
      <c r="CA91" s="18">
        <v>1.080448203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/>
      <c r="K92" s="18"/>
      <c r="L92" s="18"/>
      <c r="M92" s="49"/>
      <c r="N92" s="72">
        <v>93</v>
      </c>
      <c r="O92" s="18" t="s">
        <v>29</v>
      </c>
      <c r="P92" s="18" t="s">
        <v>30</v>
      </c>
      <c r="Q92" s="18"/>
      <c r="R92" s="18" t="b">
        <v>1</v>
      </c>
      <c r="S92" s="18"/>
      <c r="T92" s="18"/>
      <c r="U92" s="18"/>
      <c r="V92" s="18"/>
      <c r="W92" s="49"/>
      <c r="X92" s="18">
        <v>93</v>
      </c>
      <c r="Y92" s="18" t="s">
        <v>30</v>
      </c>
      <c r="Z92" s="18" t="s">
        <v>31</v>
      </c>
      <c r="AA92" s="18"/>
      <c r="AB92" s="18" t="b">
        <v>1</v>
      </c>
      <c r="AC92" s="18"/>
      <c r="AD92" s="18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18"/>
      <c r="AL92" s="18" t="b">
        <v>1</v>
      </c>
      <c r="AM92" s="18"/>
      <c r="AN92" s="18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18"/>
      <c r="AV92" s="18" t="b">
        <v>1</v>
      </c>
      <c r="AW92" s="18"/>
      <c r="AX92" s="18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18"/>
      <c r="BF92" s="18" t="b">
        <v>1</v>
      </c>
      <c r="BG92" s="18"/>
      <c r="BH92" s="18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18"/>
      <c r="BP92" s="18" t="b">
        <v>1</v>
      </c>
      <c r="BQ92" s="18"/>
      <c r="BR92" s="18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18"/>
      <c r="BZ92" s="18" t="b">
        <v>1</v>
      </c>
      <c r="CA92" s="18"/>
      <c r="CB92" s="18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8"/>
      <c r="G93" s="18"/>
      <c r="H93" s="18" t="b">
        <v>1</v>
      </c>
      <c r="I93" s="18"/>
      <c r="J93" s="18"/>
      <c r="K93" s="18"/>
      <c r="L93" s="18"/>
      <c r="M93" s="49"/>
      <c r="N93" s="72">
        <v>98</v>
      </c>
      <c r="O93" s="18" t="s">
        <v>29</v>
      </c>
      <c r="P93" s="18" t="s">
        <v>30</v>
      </c>
      <c r="Q93" s="18"/>
      <c r="R93" s="18" t="b">
        <v>1</v>
      </c>
      <c r="S93" s="18"/>
      <c r="T93" s="18"/>
      <c r="U93" s="18"/>
      <c r="V93" s="18"/>
      <c r="W93" s="49"/>
      <c r="X93" s="18">
        <v>98</v>
      </c>
      <c r="Y93" s="18" t="s">
        <v>30</v>
      </c>
      <c r="Z93" s="18" t="s">
        <v>31</v>
      </c>
      <c r="AA93" s="18"/>
      <c r="AB93" s="18" t="b">
        <v>1</v>
      </c>
      <c r="AC93" s="18"/>
      <c r="AD93" s="18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18"/>
      <c r="AL93" s="18" t="b">
        <v>1</v>
      </c>
      <c r="AM93" s="18"/>
      <c r="AN93" s="18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18"/>
      <c r="AV93" s="18" t="b">
        <v>1</v>
      </c>
      <c r="AW93" s="18"/>
      <c r="AX93" s="18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18"/>
      <c r="BF93" s="18" t="b">
        <v>1</v>
      </c>
      <c r="BG93" s="18"/>
      <c r="BH93" s="18"/>
      <c r="BI93" s="18"/>
      <c r="BJ93" s="18"/>
      <c r="BK93" s="49"/>
      <c r="BL93" s="18">
        <v>98</v>
      </c>
      <c r="BM93" s="18" t="s">
        <v>34</v>
      </c>
      <c r="BN93" s="18" t="s">
        <v>35</v>
      </c>
      <c r="BO93" s="18">
        <v>5.6220350000000002E-2</v>
      </c>
      <c r="BP93" s="18" t="b">
        <v>0</v>
      </c>
      <c r="BQ93" s="18">
        <v>0.17725352</v>
      </c>
      <c r="BR93" s="18">
        <v>0</v>
      </c>
      <c r="BS93" s="18">
        <v>0</v>
      </c>
      <c r="BT93" s="18">
        <v>0</v>
      </c>
      <c r="BU93" s="49">
        <v>0</v>
      </c>
      <c r="BV93" s="18">
        <v>98</v>
      </c>
      <c r="BW93" s="18" t="s">
        <v>35</v>
      </c>
      <c r="BX93" s="18" t="s">
        <v>36</v>
      </c>
      <c r="BY93" s="18">
        <v>3.201198846</v>
      </c>
      <c r="BZ93" s="18" t="b">
        <v>0</v>
      </c>
      <c r="CA93" s="18">
        <v>4.705195443</v>
      </c>
      <c r="CB93" s="18">
        <v>1.697202248</v>
      </c>
      <c r="CC93" s="18">
        <v>0</v>
      </c>
      <c r="CD93" s="18">
        <v>0</v>
      </c>
      <c r="CE93" s="18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8"/>
      <c r="G94" s="18"/>
      <c r="H94" s="18" t="b">
        <v>1</v>
      </c>
      <c r="I94" s="18"/>
      <c r="J94" s="18"/>
      <c r="K94" s="18"/>
      <c r="L94" s="18"/>
      <c r="M94" s="49"/>
      <c r="N94" s="72">
        <v>100</v>
      </c>
      <c r="O94" s="18" t="s">
        <v>29</v>
      </c>
      <c r="P94" s="18" t="s">
        <v>30</v>
      </c>
      <c r="Q94" s="18"/>
      <c r="R94" s="18" t="b">
        <v>1</v>
      </c>
      <c r="S94" s="18"/>
      <c r="T94" s="18"/>
      <c r="U94" s="18"/>
      <c r="V94" s="18"/>
      <c r="W94" s="49"/>
      <c r="X94" s="18">
        <v>100</v>
      </c>
      <c r="Y94" s="18" t="s">
        <v>30</v>
      </c>
      <c r="Z94" s="18" t="s">
        <v>31</v>
      </c>
      <c r="AA94" s="18"/>
      <c r="AB94" s="18" t="b">
        <v>1</v>
      </c>
      <c r="AC94" s="18"/>
      <c r="AD94" s="18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18"/>
      <c r="AL94" s="18" t="b">
        <v>1</v>
      </c>
      <c r="AM94" s="18"/>
      <c r="AN94" s="18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18"/>
      <c r="AV94" s="18" t="b">
        <v>1</v>
      </c>
      <c r="AW94" s="18"/>
      <c r="AX94" s="18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18"/>
      <c r="BF94" s="18" t="b">
        <v>1</v>
      </c>
      <c r="BG94" s="18"/>
      <c r="BH94" s="18"/>
      <c r="BI94" s="18"/>
      <c r="BJ94" s="18"/>
      <c r="BK94" s="49"/>
      <c r="BL94" s="18">
        <v>100</v>
      </c>
      <c r="BM94" s="18" t="s">
        <v>34</v>
      </c>
      <c r="BN94" s="18" t="s">
        <v>35</v>
      </c>
      <c r="BO94" s="18">
        <v>5.2798663000000003E-2</v>
      </c>
      <c r="BP94" s="18" t="b">
        <v>1</v>
      </c>
      <c r="BQ94" s="18">
        <v>0.113860684</v>
      </c>
      <c r="BR94" s="18">
        <v>0</v>
      </c>
      <c r="BS94" s="18">
        <v>1.2112600000000001E-4</v>
      </c>
      <c r="BT94" s="18">
        <v>0.33464721200000003</v>
      </c>
      <c r="BU94" s="49">
        <v>1.5221761E-2</v>
      </c>
      <c r="BV94" s="18">
        <v>100</v>
      </c>
      <c r="BW94" s="18" t="s">
        <v>35</v>
      </c>
      <c r="BX94" s="18" t="s">
        <v>36</v>
      </c>
      <c r="BY94" s="18">
        <v>2.6438481739999999</v>
      </c>
      <c r="BZ94" s="18" t="b">
        <v>0</v>
      </c>
      <c r="CA94" s="18">
        <v>5.0909548500000001</v>
      </c>
      <c r="CB94" s="18">
        <v>0.19674149799999999</v>
      </c>
      <c r="CC94" s="18">
        <v>0</v>
      </c>
      <c r="CD94" s="18">
        <v>0</v>
      </c>
      <c r="CE94" s="18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8"/>
      <c r="G95" s="18"/>
      <c r="H95" s="18" t="b">
        <v>1</v>
      </c>
      <c r="I95" s="18"/>
      <c r="J95" s="18"/>
      <c r="K95" s="18"/>
      <c r="L95" s="18"/>
      <c r="M95" s="49"/>
      <c r="N95" s="72">
        <v>102</v>
      </c>
      <c r="O95" s="18" t="s">
        <v>29</v>
      </c>
      <c r="P95" s="18" t="s">
        <v>30</v>
      </c>
      <c r="Q95" s="18"/>
      <c r="R95" s="18" t="b">
        <v>1</v>
      </c>
      <c r="S95" s="18"/>
      <c r="T95" s="18"/>
      <c r="U95" s="18"/>
      <c r="V95" s="18"/>
      <c r="W95" s="49"/>
      <c r="X95" s="18">
        <v>102</v>
      </c>
      <c r="Y95" s="18" t="s">
        <v>30</v>
      </c>
      <c r="Z95" s="18" t="s">
        <v>31</v>
      </c>
      <c r="AA95" s="18"/>
      <c r="AB95" s="18" t="b">
        <v>1</v>
      </c>
      <c r="AC95" s="18"/>
      <c r="AD95" s="18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18"/>
      <c r="AL95" s="18" t="b">
        <v>1</v>
      </c>
      <c r="AM95" s="18"/>
      <c r="AN95" s="18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18"/>
      <c r="AV95" s="18" t="b">
        <v>1</v>
      </c>
      <c r="AW95" s="18"/>
      <c r="AX95" s="18"/>
      <c r="AY95" s="18"/>
      <c r="AZ95" s="18"/>
      <c r="BA95" s="49"/>
      <c r="BB95" s="72">
        <v>102</v>
      </c>
      <c r="BC95" s="18" t="s">
        <v>33</v>
      </c>
      <c r="BD95" s="18" t="s">
        <v>34</v>
      </c>
      <c r="BE95" s="18">
        <v>4.7142723999999997E-2</v>
      </c>
      <c r="BF95" s="18" t="b">
        <v>0</v>
      </c>
      <c r="BG95" s="18">
        <v>0.212849224</v>
      </c>
      <c r="BH95" s="18">
        <v>0</v>
      </c>
      <c r="BI95" s="18">
        <v>0</v>
      </c>
      <c r="BJ95" s="18">
        <v>0</v>
      </c>
      <c r="BK95" s="49">
        <v>0</v>
      </c>
      <c r="BL95" s="18">
        <v>102</v>
      </c>
      <c r="BM95" s="18" t="s">
        <v>34</v>
      </c>
      <c r="BN95" s="18" t="s">
        <v>35</v>
      </c>
      <c r="BO95" s="18">
        <v>7.9622802000000006E-2</v>
      </c>
      <c r="BP95" s="18" t="b">
        <v>1</v>
      </c>
      <c r="BQ95" s="18">
        <v>0.21763189599999999</v>
      </c>
      <c r="BR95" s="18">
        <v>0</v>
      </c>
      <c r="BS95" s="18">
        <v>4.3819569999999997E-3</v>
      </c>
      <c r="BT95" s="18">
        <v>0.49073362199999998</v>
      </c>
      <c r="BU95" s="49">
        <v>0.19444436900000001</v>
      </c>
      <c r="BV95" s="18">
        <v>102</v>
      </c>
      <c r="BW95" s="18" t="s">
        <v>35</v>
      </c>
      <c r="BX95" s="18" t="s">
        <v>36</v>
      </c>
      <c r="BY95" s="18"/>
      <c r="BZ95" s="18" t="b">
        <v>1</v>
      </c>
      <c r="CA95" s="18"/>
      <c r="CB95" s="18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8"/>
      <c r="G96" s="18"/>
      <c r="H96" s="18" t="b">
        <v>1</v>
      </c>
      <c r="I96" s="18"/>
      <c r="J96" s="18"/>
      <c r="K96" s="18"/>
      <c r="L96" s="18"/>
      <c r="M96" s="49"/>
      <c r="N96" s="72">
        <v>103</v>
      </c>
      <c r="O96" s="18" t="s">
        <v>29</v>
      </c>
      <c r="P96" s="18" t="s">
        <v>30</v>
      </c>
      <c r="Q96" s="18"/>
      <c r="R96" s="18" t="b">
        <v>1</v>
      </c>
      <c r="S96" s="18"/>
      <c r="T96" s="18"/>
      <c r="U96" s="18"/>
      <c r="V96" s="18"/>
      <c r="W96" s="49"/>
      <c r="X96" s="18">
        <v>103</v>
      </c>
      <c r="Y96" s="18" t="s">
        <v>30</v>
      </c>
      <c r="Z96" s="18" t="s">
        <v>31</v>
      </c>
      <c r="AA96" s="18"/>
      <c r="AB96" s="18" t="b">
        <v>1</v>
      </c>
      <c r="AC96" s="18"/>
      <c r="AD96" s="18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18"/>
      <c r="AL96" s="18" t="b">
        <v>1</v>
      </c>
      <c r="AM96" s="18"/>
      <c r="AN96" s="18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18"/>
      <c r="AV96" s="18" t="b">
        <v>1</v>
      </c>
      <c r="AW96" s="18"/>
      <c r="AX96" s="18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18"/>
      <c r="BF96" s="18" t="b">
        <v>1</v>
      </c>
      <c r="BG96" s="18"/>
      <c r="BH96" s="18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18"/>
      <c r="BP96" s="18" t="b">
        <v>1</v>
      </c>
      <c r="BQ96" s="18"/>
      <c r="BR96" s="18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18"/>
      <c r="BZ96" s="18" t="b">
        <v>1</v>
      </c>
      <c r="CA96" s="18"/>
      <c r="CB96" s="18"/>
      <c r="CC96" s="18"/>
      <c r="CD96" s="18"/>
      <c r="CE96" s="18"/>
    </row>
    <row r="97" spans="1:83" x14ac:dyDescent="0.25">
      <c r="A97" s="18">
        <v>104</v>
      </c>
      <c r="B97" s="18">
        <v>45</v>
      </c>
      <c r="C97" s="18">
        <v>104</v>
      </c>
      <c r="D97" s="72" t="s">
        <v>28</v>
      </c>
      <c r="E97" s="18" t="s">
        <v>29</v>
      </c>
      <c r="F97" s="18">
        <v>0.211021504</v>
      </c>
      <c r="G97" s="18"/>
      <c r="H97" s="18" t="b">
        <v>1</v>
      </c>
      <c r="I97" s="18">
        <v>0.45983623699999998</v>
      </c>
      <c r="J97" s="18">
        <v>0</v>
      </c>
      <c r="K97" s="18">
        <v>3.0834840000000001E-3</v>
      </c>
      <c r="L97" s="18">
        <v>0.15917601200000001</v>
      </c>
      <c r="M97" s="49">
        <v>3.3846531999999999E-2</v>
      </c>
      <c r="N97" s="72">
        <v>104</v>
      </c>
      <c r="O97" s="18" t="s">
        <v>29</v>
      </c>
      <c r="P97" s="18" t="s">
        <v>30</v>
      </c>
      <c r="Q97" s="18">
        <v>2.9900428999999999E-2</v>
      </c>
      <c r="R97" s="18" t="b">
        <v>0</v>
      </c>
      <c r="S97" s="18">
        <v>0.20802798</v>
      </c>
      <c r="T97" s="18">
        <v>0</v>
      </c>
      <c r="U97" s="18">
        <v>0</v>
      </c>
      <c r="V97" s="18">
        <v>0</v>
      </c>
      <c r="W97" s="49">
        <v>0</v>
      </c>
      <c r="X97" s="18">
        <v>104</v>
      </c>
      <c r="Y97" s="18" t="s">
        <v>30</v>
      </c>
      <c r="Z97" s="18" t="s">
        <v>31</v>
      </c>
      <c r="AA97" s="18">
        <v>3.2807332000000002E-2</v>
      </c>
      <c r="AB97" s="18" t="b">
        <v>0</v>
      </c>
      <c r="AC97" s="18">
        <v>6.1695421E-2</v>
      </c>
      <c r="AD97" s="18">
        <v>3.9192439999999997E-3</v>
      </c>
      <c r="AE97" s="18">
        <v>0</v>
      </c>
      <c r="AF97" s="18">
        <v>0</v>
      </c>
      <c r="AG97" s="18">
        <v>0</v>
      </c>
      <c r="AH97" s="72">
        <v>104</v>
      </c>
      <c r="AI97" s="18" t="s">
        <v>31</v>
      </c>
      <c r="AJ97" s="18" t="s">
        <v>32</v>
      </c>
      <c r="AK97" s="18">
        <v>1.0565711E-2</v>
      </c>
      <c r="AL97" s="18" t="b">
        <v>0</v>
      </c>
      <c r="AM97" s="18">
        <v>0.12143026</v>
      </c>
      <c r="AN97" s="18">
        <v>0</v>
      </c>
      <c r="AO97" s="18">
        <v>0</v>
      </c>
      <c r="AP97" s="18">
        <v>0</v>
      </c>
      <c r="AQ97" s="49">
        <v>0</v>
      </c>
      <c r="AR97" s="18">
        <v>104</v>
      </c>
      <c r="AS97" s="18" t="s">
        <v>32</v>
      </c>
      <c r="AT97" s="18" t="s">
        <v>33</v>
      </c>
      <c r="AU97" s="18">
        <v>0.33665252400000001</v>
      </c>
      <c r="AV97" s="18" t="b">
        <v>0</v>
      </c>
      <c r="AW97" s="18">
        <v>0.552257844</v>
      </c>
      <c r="AX97" s="18">
        <v>0.12104720400000001</v>
      </c>
      <c r="AY97" s="18">
        <v>0</v>
      </c>
      <c r="AZ97" s="18">
        <v>0</v>
      </c>
      <c r="BA97" s="49">
        <v>0</v>
      </c>
      <c r="BB97" s="72">
        <v>104</v>
      </c>
      <c r="BC97" s="18" t="s">
        <v>33</v>
      </c>
      <c r="BD97" s="18" t="s">
        <v>34</v>
      </c>
      <c r="BE97" s="18"/>
      <c r="BF97" s="18" t="b">
        <v>1</v>
      </c>
      <c r="BG97" s="18"/>
      <c r="BH97" s="18"/>
      <c r="BI97" s="18"/>
      <c r="BJ97" s="18"/>
      <c r="BK97" s="49"/>
      <c r="BL97" s="18">
        <v>104</v>
      </c>
      <c r="BM97" s="18" t="s">
        <v>34</v>
      </c>
      <c r="BN97" s="18" t="s">
        <v>35</v>
      </c>
      <c r="BO97" s="18"/>
      <c r="BP97" s="18" t="b">
        <v>1</v>
      </c>
      <c r="BQ97" s="18"/>
      <c r="BR97" s="18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18"/>
      <c r="BZ97" s="18" t="b">
        <v>1</v>
      </c>
      <c r="CA97" s="18"/>
      <c r="CB97" s="18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8"/>
      <c r="G98" s="18"/>
      <c r="H98" s="18" t="b">
        <v>1</v>
      </c>
      <c r="I98" s="18"/>
      <c r="J98" s="18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18"/>
      <c r="R98" s="18" t="b">
        <v>1</v>
      </c>
      <c r="S98" s="18"/>
      <c r="T98" s="18"/>
      <c r="U98" s="18"/>
      <c r="V98" s="18"/>
      <c r="W98" s="49"/>
      <c r="X98" s="18">
        <v>107</v>
      </c>
      <c r="Y98" s="18" t="s">
        <v>30</v>
      </c>
      <c r="Z98" s="18" t="s">
        <v>31</v>
      </c>
      <c r="AA98" s="18"/>
      <c r="AB98" s="18" t="b">
        <v>1</v>
      </c>
      <c r="AC98" s="18"/>
      <c r="AD98" s="18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18"/>
      <c r="AL98" s="18" t="b">
        <v>1</v>
      </c>
      <c r="AM98" s="18"/>
      <c r="AN98" s="18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18"/>
      <c r="AV98" s="18" t="b">
        <v>1</v>
      </c>
      <c r="AW98" s="18"/>
      <c r="AX98" s="18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18"/>
      <c r="BF98" s="18" t="b">
        <v>1</v>
      </c>
      <c r="BG98" s="18"/>
      <c r="BH98" s="18"/>
      <c r="BI98" s="18"/>
      <c r="BJ98" s="18"/>
      <c r="BK98" s="49"/>
      <c r="BL98" s="18">
        <v>107</v>
      </c>
      <c r="BM98" s="18" t="s">
        <v>34</v>
      </c>
      <c r="BN98" s="18" t="s">
        <v>35</v>
      </c>
      <c r="BO98" s="18">
        <v>0.11420625600000001</v>
      </c>
      <c r="BP98" s="18" t="b">
        <v>1</v>
      </c>
      <c r="BQ98" s="18">
        <v>0.31770974000000002</v>
      </c>
      <c r="BR98" s="18">
        <v>0</v>
      </c>
      <c r="BS98" s="18">
        <v>9.7958750000000008E-3</v>
      </c>
      <c r="BT98" s="18">
        <v>0.56196660899999995</v>
      </c>
      <c r="BU98" s="49">
        <v>0.18733356400000001</v>
      </c>
      <c r="BV98" s="18">
        <v>107</v>
      </c>
      <c r="BW98" s="18" t="s">
        <v>35</v>
      </c>
      <c r="BX98" s="18" t="s">
        <v>36</v>
      </c>
      <c r="BY98" s="18">
        <v>0.109295104</v>
      </c>
      <c r="BZ98" s="18" t="b">
        <v>1</v>
      </c>
      <c r="CA98" s="18">
        <v>0.27923910499999999</v>
      </c>
      <c r="CB98" s="18">
        <v>0</v>
      </c>
      <c r="CC98" s="18">
        <v>5.4132290000000003E-3</v>
      </c>
      <c r="CD98" s="18">
        <v>0.31054438000000001</v>
      </c>
      <c r="CE98" s="18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8"/>
      <c r="G99" s="18"/>
      <c r="H99" s="18" t="b">
        <v>1</v>
      </c>
      <c r="I99" s="18"/>
      <c r="J99" s="18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18"/>
      <c r="R99" s="18" t="b">
        <v>1</v>
      </c>
      <c r="S99" s="18"/>
      <c r="T99" s="18"/>
      <c r="U99" s="18"/>
      <c r="V99" s="18"/>
      <c r="W99" s="49"/>
      <c r="X99" s="18">
        <v>108</v>
      </c>
      <c r="Y99" s="18" t="s">
        <v>30</v>
      </c>
      <c r="Z99" s="18" t="s">
        <v>31</v>
      </c>
      <c r="AA99" s="18"/>
      <c r="AB99" s="18" t="b">
        <v>1</v>
      </c>
      <c r="AC99" s="18"/>
      <c r="AD99" s="18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18"/>
      <c r="AL99" s="18" t="b">
        <v>1</v>
      </c>
      <c r="AM99" s="18"/>
      <c r="AN99" s="18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18"/>
      <c r="AV99" s="18" t="b">
        <v>1</v>
      </c>
      <c r="AW99" s="18"/>
      <c r="AX99" s="18"/>
      <c r="AY99" s="18"/>
      <c r="AZ99" s="18"/>
      <c r="BA99" s="49"/>
      <c r="BB99" s="72">
        <v>108</v>
      </c>
      <c r="BC99" s="18" t="s">
        <v>33</v>
      </c>
      <c r="BD99" s="18" t="s">
        <v>34</v>
      </c>
      <c r="BE99" s="18">
        <v>18.677467249999999</v>
      </c>
      <c r="BF99" s="18" t="b">
        <v>0</v>
      </c>
      <c r="BG99" s="18">
        <v>19.807132159999998</v>
      </c>
      <c r="BH99" s="18">
        <v>17.54780234</v>
      </c>
      <c r="BI99" s="18">
        <v>0</v>
      </c>
      <c r="BJ99" s="18">
        <v>0</v>
      </c>
      <c r="BK99" s="49">
        <v>0</v>
      </c>
      <c r="BL99" s="18">
        <v>108</v>
      </c>
      <c r="BM99" s="18" t="s">
        <v>34</v>
      </c>
      <c r="BN99" s="18" t="s">
        <v>35</v>
      </c>
      <c r="BO99" s="18">
        <v>0.66483528599999997</v>
      </c>
      <c r="BP99" s="18" t="b">
        <v>1</v>
      </c>
      <c r="BQ99" s="18">
        <v>1.834144274</v>
      </c>
      <c r="BR99" s="18">
        <v>0</v>
      </c>
      <c r="BS99" s="18">
        <v>0.34055243299999999</v>
      </c>
      <c r="BT99" s="18">
        <v>0.32894351599999999</v>
      </c>
      <c r="BU99" s="49">
        <v>0.30593915199999999</v>
      </c>
      <c r="BV99" s="18">
        <v>108</v>
      </c>
      <c r="BW99" s="18" t="s">
        <v>35</v>
      </c>
      <c r="BX99" s="18" t="s">
        <v>36</v>
      </c>
      <c r="BY99" s="18">
        <v>0.66659248000000004</v>
      </c>
      <c r="BZ99" s="18" t="b">
        <v>1</v>
      </c>
      <c r="CA99" s="18">
        <v>1.809940833</v>
      </c>
      <c r="CB99" s="18">
        <v>0</v>
      </c>
      <c r="CC99" s="18">
        <v>0.30976620700000002</v>
      </c>
      <c r="CD99" s="18">
        <v>0.328221814</v>
      </c>
      <c r="CE99" s="18">
        <v>0.278281995</v>
      </c>
    </row>
    <row r="100" spans="1:83" x14ac:dyDescent="0.25">
      <c r="A100" s="18">
        <v>109</v>
      </c>
      <c r="B100" s="18">
        <v>45</v>
      </c>
      <c r="C100" s="18">
        <v>109</v>
      </c>
      <c r="D100" s="72" t="s">
        <v>28</v>
      </c>
      <c r="E100" s="18" t="s">
        <v>29</v>
      </c>
      <c r="F100" s="18">
        <v>0.150181014</v>
      </c>
      <c r="G100" s="18"/>
      <c r="H100" s="18" t="b">
        <v>1</v>
      </c>
      <c r="I100" s="18">
        <v>0.34181352799999998</v>
      </c>
      <c r="J100" s="18">
        <v>0</v>
      </c>
      <c r="K100" s="18">
        <v>2.620088E-3</v>
      </c>
      <c r="L100" s="18">
        <v>0.43528603900000001</v>
      </c>
      <c r="M100" s="49">
        <v>3.8147075000000003E-2</v>
      </c>
      <c r="N100" s="72">
        <v>109</v>
      </c>
      <c r="O100" s="18" t="s">
        <v>29</v>
      </c>
      <c r="P100" s="18" t="s">
        <v>30</v>
      </c>
      <c r="Q100" s="18">
        <v>9.5819474000000002E-2</v>
      </c>
      <c r="R100" s="18" t="b">
        <v>0</v>
      </c>
      <c r="S100" s="18">
        <v>0.26861890999999999</v>
      </c>
      <c r="T100" s="18">
        <v>0</v>
      </c>
      <c r="U100" s="18">
        <v>0</v>
      </c>
      <c r="V100" s="18">
        <v>0</v>
      </c>
      <c r="W100" s="49">
        <v>0</v>
      </c>
      <c r="X100" s="18">
        <v>109</v>
      </c>
      <c r="Y100" s="18" t="s">
        <v>30</v>
      </c>
      <c r="Z100" s="18" t="s">
        <v>31</v>
      </c>
      <c r="AA100" s="18">
        <v>2.7874963999999999E-2</v>
      </c>
      <c r="AB100" s="18" t="b">
        <v>1</v>
      </c>
      <c r="AC100" s="18">
        <v>6.1039828999999997E-2</v>
      </c>
      <c r="AD100" s="18">
        <v>0</v>
      </c>
      <c r="AE100" s="19">
        <v>5.3399999999999997E-5</v>
      </c>
      <c r="AF100" s="18">
        <v>0.251404562</v>
      </c>
      <c r="AG100" s="18">
        <v>2.7352649999999999E-2</v>
      </c>
      <c r="AH100" s="72">
        <v>109</v>
      </c>
      <c r="AI100" s="18" t="s">
        <v>31</v>
      </c>
      <c r="AJ100" s="18" t="s">
        <v>32</v>
      </c>
      <c r="AK100" s="18">
        <v>3.6991573E-2</v>
      </c>
      <c r="AL100" s="18" t="b">
        <v>1</v>
      </c>
      <c r="AM100" s="18">
        <v>8.5678109000000002E-2</v>
      </c>
      <c r="AN100" s="18">
        <v>0</v>
      </c>
      <c r="AO100" s="18">
        <v>1.5796399999999999E-4</v>
      </c>
      <c r="AP100" s="18">
        <v>0.74306958400000001</v>
      </c>
      <c r="AQ100" s="49">
        <v>3.0714655E-2</v>
      </c>
      <c r="AR100" s="18">
        <v>109</v>
      </c>
      <c r="AS100" s="18" t="s">
        <v>32</v>
      </c>
      <c r="AT100" s="18" t="s">
        <v>33</v>
      </c>
      <c r="AU100" s="18"/>
      <c r="AV100" s="18" t="b">
        <v>1</v>
      </c>
      <c r="AW100" s="18"/>
      <c r="AX100" s="18"/>
      <c r="AY100" s="18"/>
      <c r="AZ100" s="18"/>
      <c r="BA100" s="49"/>
      <c r="BB100" s="72">
        <v>109</v>
      </c>
      <c r="BC100" s="18" t="s">
        <v>33</v>
      </c>
      <c r="BD100" s="18" t="s">
        <v>34</v>
      </c>
      <c r="BE100" s="18"/>
      <c r="BF100" s="18" t="b">
        <v>1</v>
      </c>
      <c r="BG100" s="18"/>
      <c r="BH100" s="18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18"/>
      <c r="BP100" s="18" t="b">
        <v>1</v>
      </c>
      <c r="BQ100" s="18"/>
      <c r="BR100" s="18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18"/>
      <c r="BZ100" s="18" t="b">
        <v>1</v>
      </c>
      <c r="CA100" s="18"/>
      <c r="CB100" s="18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8"/>
      <c r="G101" s="18"/>
      <c r="H101" s="18" t="b">
        <v>1</v>
      </c>
      <c r="I101" s="18"/>
      <c r="J101" s="18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18"/>
      <c r="R101" s="18" t="b">
        <v>1</v>
      </c>
      <c r="S101" s="18"/>
      <c r="T101" s="18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18"/>
      <c r="AB101" s="18" t="b">
        <v>1</v>
      </c>
      <c r="AC101" s="18"/>
      <c r="AD101" s="18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18"/>
      <c r="AL101" s="18" t="b">
        <v>1</v>
      </c>
      <c r="AM101" s="18"/>
      <c r="AN101" s="18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18"/>
      <c r="AV101" s="18" t="b">
        <v>1</v>
      </c>
      <c r="AW101" s="18"/>
      <c r="AX101" s="18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18"/>
      <c r="BF101" s="18" t="b">
        <v>1</v>
      </c>
      <c r="BG101" s="18"/>
      <c r="BH101" s="18"/>
      <c r="BI101" s="18"/>
      <c r="BJ101" s="18"/>
      <c r="BK101" s="49"/>
      <c r="BL101" s="18">
        <v>110</v>
      </c>
      <c r="BM101" s="18" t="s">
        <v>34</v>
      </c>
      <c r="BN101" s="18" t="s">
        <v>35</v>
      </c>
      <c r="BO101" s="18">
        <v>0.76541145300000002</v>
      </c>
      <c r="BP101" s="18" t="b">
        <v>0</v>
      </c>
      <c r="BQ101" s="18">
        <v>1.1111030980000001</v>
      </c>
      <c r="BR101" s="18">
        <v>0.419719807</v>
      </c>
      <c r="BS101" s="18">
        <v>0</v>
      </c>
      <c r="BT101" s="18">
        <v>0</v>
      </c>
      <c r="BU101" s="49">
        <v>0</v>
      </c>
      <c r="BV101" s="18">
        <v>110</v>
      </c>
      <c r="BW101" s="18" t="s">
        <v>35</v>
      </c>
      <c r="BX101" s="18" t="s">
        <v>36</v>
      </c>
      <c r="BY101" s="18">
        <v>3.3226336000000002E-2</v>
      </c>
      <c r="BZ101" s="18" t="b">
        <v>1</v>
      </c>
      <c r="CA101" s="18">
        <v>0.60237598199999998</v>
      </c>
      <c r="CB101" s="18">
        <v>0</v>
      </c>
      <c r="CC101" s="18">
        <v>0.23401695</v>
      </c>
      <c r="CD101" s="18">
        <v>0.96593579500000004</v>
      </c>
      <c r="CE101" s="18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8"/>
      <c r="G102" s="18"/>
      <c r="H102" s="18" t="b">
        <v>1</v>
      </c>
      <c r="I102" s="18"/>
      <c r="J102" s="18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18"/>
      <c r="R102" s="18" t="b">
        <v>1</v>
      </c>
      <c r="S102" s="18"/>
      <c r="T102" s="18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18"/>
      <c r="AB102" s="18" t="b">
        <v>1</v>
      </c>
      <c r="AC102" s="18"/>
      <c r="AD102" s="18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18"/>
      <c r="AL102" s="18" t="b">
        <v>1</v>
      </c>
      <c r="AM102" s="18"/>
      <c r="AN102" s="18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18"/>
      <c r="AV102" s="18" t="b">
        <v>1</v>
      </c>
      <c r="AW102" s="18"/>
      <c r="AX102" s="18"/>
      <c r="AY102" s="18"/>
      <c r="AZ102" s="18"/>
      <c r="BA102" s="49"/>
      <c r="BB102" s="72">
        <v>116</v>
      </c>
      <c r="BC102" s="18" t="s">
        <v>33</v>
      </c>
      <c r="BD102" s="18" t="s">
        <v>34</v>
      </c>
      <c r="BE102" s="18">
        <v>0.14022071899999999</v>
      </c>
      <c r="BF102" s="18" t="b">
        <v>0</v>
      </c>
      <c r="BG102" s="18">
        <v>0.234943175</v>
      </c>
      <c r="BH102" s="18">
        <v>4.5498261999999998E-2</v>
      </c>
      <c r="BI102" s="18">
        <v>0</v>
      </c>
      <c r="BJ102" s="18">
        <v>0</v>
      </c>
      <c r="BK102" s="49">
        <v>0</v>
      </c>
      <c r="BL102" s="18">
        <v>116</v>
      </c>
      <c r="BM102" s="18" t="s">
        <v>34</v>
      </c>
      <c r="BN102" s="18" t="s">
        <v>35</v>
      </c>
      <c r="BO102" s="18">
        <v>9.7590864999999999E-2</v>
      </c>
      <c r="BP102" s="18" t="b">
        <v>1</v>
      </c>
      <c r="BQ102" s="18">
        <v>0.19827594400000001</v>
      </c>
      <c r="BR102" s="18">
        <v>0</v>
      </c>
      <c r="BS102" s="19">
        <v>4.0200000000000001E-5</v>
      </c>
      <c r="BT102" s="18">
        <v>3.305843E-2</v>
      </c>
      <c r="BU102" s="49">
        <v>1.948647E-3</v>
      </c>
      <c r="BV102" s="18">
        <v>116</v>
      </c>
      <c r="BW102" s="18" t="s">
        <v>35</v>
      </c>
      <c r="BX102" s="18" t="s">
        <v>36</v>
      </c>
      <c r="BY102" s="18"/>
      <c r="BZ102" s="18" t="b">
        <v>1</v>
      </c>
      <c r="CA102" s="18"/>
      <c r="CB102" s="18"/>
      <c r="CC102" s="18"/>
      <c r="CD102" s="18"/>
      <c r="CE102" s="18"/>
    </row>
    <row r="103" spans="1:83" x14ac:dyDescent="0.25">
      <c r="A103" s="18">
        <v>117</v>
      </c>
      <c r="B103" s="18">
        <v>45</v>
      </c>
      <c r="C103" s="18">
        <v>117</v>
      </c>
      <c r="D103" s="72" t="s">
        <v>28</v>
      </c>
      <c r="E103" s="18" t="s">
        <v>29</v>
      </c>
      <c r="F103" s="18">
        <v>1.0082570399999999</v>
      </c>
      <c r="G103" s="18"/>
      <c r="H103" s="18" t="b">
        <v>0</v>
      </c>
      <c r="I103" s="18">
        <v>1.2364072189999999</v>
      </c>
      <c r="J103" s="18">
        <v>0.78010685999999996</v>
      </c>
      <c r="K103" s="18">
        <v>0</v>
      </c>
      <c r="L103" s="18">
        <v>0</v>
      </c>
      <c r="M103" s="49">
        <v>0</v>
      </c>
      <c r="N103" s="72">
        <v>117</v>
      </c>
      <c r="O103" s="18" t="s">
        <v>29</v>
      </c>
      <c r="P103" s="18" t="s">
        <v>30</v>
      </c>
      <c r="Q103" s="18">
        <v>2.8348599229999998</v>
      </c>
      <c r="R103" s="18" t="b">
        <v>0</v>
      </c>
      <c r="S103" s="18">
        <v>3.0640023140000001</v>
      </c>
      <c r="T103" s="18">
        <v>2.6057175319999999</v>
      </c>
      <c r="U103" s="18">
        <v>0</v>
      </c>
      <c r="V103" s="18">
        <v>0</v>
      </c>
      <c r="W103" s="49">
        <v>0</v>
      </c>
      <c r="X103" s="18">
        <v>117</v>
      </c>
      <c r="Y103" s="18" t="s">
        <v>30</v>
      </c>
      <c r="Z103" s="18" t="s">
        <v>31</v>
      </c>
      <c r="AA103" s="18"/>
      <c r="AB103" s="18" t="b">
        <v>1</v>
      </c>
      <c r="AC103" s="18"/>
      <c r="AD103" s="18"/>
      <c r="AE103" s="18"/>
      <c r="AF103" s="18"/>
      <c r="AG103" s="18"/>
      <c r="AH103" s="72">
        <v>117</v>
      </c>
      <c r="AI103" s="18" t="s">
        <v>31</v>
      </c>
      <c r="AJ103" s="18" t="s">
        <v>32</v>
      </c>
      <c r="AK103" s="18"/>
      <c r="AL103" s="18" t="b">
        <v>1</v>
      </c>
      <c r="AM103" s="18"/>
      <c r="AN103" s="18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18"/>
      <c r="AV103" s="18" t="b">
        <v>1</v>
      </c>
      <c r="AW103" s="18"/>
      <c r="AX103" s="18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18"/>
      <c r="BF103" s="18" t="b">
        <v>1</v>
      </c>
      <c r="BG103" s="18"/>
      <c r="BH103" s="18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18"/>
      <c r="BP103" s="18" t="b">
        <v>1</v>
      </c>
      <c r="BQ103" s="18"/>
      <c r="BR103" s="18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18"/>
      <c r="BZ103" s="18" t="b">
        <v>1</v>
      </c>
      <c r="CA103" s="18"/>
      <c r="CB103" s="18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8">
        <v>9.6148109999999991E-3</v>
      </c>
      <c r="G104" s="18"/>
      <c r="H104" s="18" t="b">
        <v>0</v>
      </c>
      <c r="I104" s="18">
        <v>9.1974263000000001E-2</v>
      </c>
      <c r="J104" s="18">
        <v>0</v>
      </c>
      <c r="K104" s="18">
        <v>0</v>
      </c>
      <c r="L104" s="18">
        <v>0</v>
      </c>
      <c r="M104" s="49">
        <v>0</v>
      </c>
      <c r="N104" s="72">
        <v>119</v>
      </c>
      <c r="O104" s="18" t="s">
        <v>29</v>
      </c>
      <c r="P104" s="18" t="s">
        <v>30</v>
      </c>
      <c r="Q104" s="18">
        <v>5.9076627999999999E-2</v>
      </c>
      <c r="R104" s="18" t="b">
        <v>0</v>
      </c>
      <c r="S104" s="18">
        <v>0.15135256799999999</v>
      </c>
      <c r="T104" s="18">
        <v>0</v>
      </c>
      <c r="U104" s="18">
        <v>0</v>
      </c>
      <c r="V104" s="18">
        <v>0</v>
      </c>
      <c r="W104" s="49">
        <v>0</v>
      </c>
      <c r="X104" s="18">
        <v>119</v>
      </c>
      <c r="Y104" s="18" t="s">
        <v>30</v>
      </c>
      <c r="Z104" s="18" t="s">
        <v>31</v>
      </c>
      <c r="AA104" s="18">
        <v>2.9613449E-2</v>
      </c>
      <c r="AB104" s="18" t="b">
        <v>1</v>
      </c>
      <c r="AC104" s="18">
        <v>0.158516295</v>
      </c>
      <c r="AD104" s="18">
        <v>0</v>
      </c>
      <c r="AE104" s="18">
        <v>8.1599910000000001E-3</v>
      </c>
      <c r="AF104" s="18">
        <v>0.98232132699999997</v>
      </c>
      <c r="AG104" s="18">
        <v>0.43265663799999998</v>
      </c>
      <c r="AH104" s="72">
        <v>119</v>
      </c>
      <c r="AI104" s="18" t="s">
        <v>31</v>
      </c>
      <c r="AJ104" s="18" t="s">
        <v>32</v>
      </c>
      <c r="AK104" s="18">
        <v>0.107804054</v>
      </c>
      <c r="AL104" s="18" t="b">
        <v>0</v>
      </c>
      <c r="AM104" s="18">
        <v>0.20593339999999999</v>
      </c>
      <c r="AN104" s="18">
        <v>9.6747069999999994E-3</v>
      </c>
      <c r="AO104" s="18">
        <v>0</v>
      </c>
      <c r="AP104" s="18">
        <v>0</v>
      </c>
      <c r="AQ104" s="49">
        <v>0</v>
      </c>
      <c r="AR104" s="18">
        <v>119</v>
      </c>
      <c r="AS104" s="18" t="s">
        <v>32</v>
      </c>
      <c r="AT104" s="18" t="s">
        <v>33</v>
      </c>
      <c r="AU104" s="18">
        <v>0.17604452300000001</v>
      </c>
      <c r="AV104" s="18" t="b">
        <v>0</v>
      </c>
      <c r="AW104" s="18">
        <v>0.253491142</v>
      </c>
      <c r="AX104" s="18">
        <v>9.8597905E-2</v>
      </c>
      <c r="AY104" s="18">
        <v>0</v>
      </c>
      <c r="AZ104" s="18">
        <v>0</v>
      </c>
      <c r="BA104" s="49">
        <v>0</v>
      </c>
      <c r="BB104" s="72">
        <v>119</v>
      </c>
      <c r="BC104" s="18" t="s">
        <v>33</v>
      </c>
      <c r="BD104" s="18" t="s">
        <v>34</v>
      </c>
      <c r="BE104" s="18">
        <v>6.3968356000000004E-2</v>
      </c>
      <c r="BF104" s="18" t="b">
        <v>1</v>
      </c>
      <c r="BG104" s="18">
        <v>0.128570359</v>
      </c>
      <c r="BH104" s="18">
        <v>0</v>
      </c>
      <c r="BI104" s="19">
        <v>3.8099999999999999E-6</v>
      </c>
      <c r="BJ104" s="18">
        <v>1.2842400000000001E-3</v>
      </c>
      <c r="BK104" s="49">
        <v>1.0581620000000001E-3</v>
      </c>
      <c r="BL104" s="18">
        <v>119</v>
      </c>
      <c r="BM104" s="18" t="s">
        <v>34</v>
      </c>
      <c r="BN104" s="18" t="s">
        <v>35</v>
      </c>
      <c r="BO104" s="18">
        <v>1.111987E-2</v>
      </c>
      <c r="BP104" s="18" t="b">
        <v>1</v>
      </c>
      <c r="BQ104" s="18">
        <v>8.5407823999999993E-2</v>
      </c>
      <c r="BR104" s="18">
        <v>0</v>
      </c>
      <c r="BS104" s="18">
        <v>3.395258E-3</v>
      </c>
      <c r="BT104" s="18">
        <v>0.94245639400000003</v>
      </c>
      <c r="BU104" s="49">
        <v>0.66135245499999995</v>
      </c>
      <c r="BV104" s="18">
        <v>119</v>
      </c>
      <c r="BW104" s="18" t="s">
        <v>35</v>
      </c>
      <c r="BX104" s="18" t="s">
        <v>36</v>
      </c>
      <c r="BY104" s="18">
        <v>3.0656563860000001</v>
      </c>
      <c r="BZ104" s="18" t="b">
        <v>0</v>
      </c>
      <c r="CA104" s="18">
        <v>5.1692836289999997</v>
      </c>
      <c r="CB104" s="18">
        <v>0.962029142</v>
      </c>
      <c r="CC104" s="18">
        <v>0</v>
      </c>
      <c r="CD104" s="18">
        <v>0</v>
      </c>
      <c r="CE104" s="18">
        <v>0</v>
      </c>
    </row>
    <row r="105" spans="1:83" x14ac:dyDescent="0.25">
      <c r="A105" s="18">
        <v>120</v>
      </c>
      <c r="B105" s="18">
        <v>45</v>
      </c>
      <c r="C105" s="18">
        <v>120</v>
      </c>
      <c r="D105" s="72" t="s">
        <v>28</v>
      </c>
      <c r="E105" s="18" t="s">
        <v>29</v>
      </c>
      <c r="F105" s="18">
        <v>0.105144534</v>
      </c>
      <c r="G105" s="18"/>
      <c r="H105" s="18" t="b">
        <v>1</v>
      </c>
      <c r="I105" s="18">
        <v>0.27464530500000001</v>
      </c>
      <c r="J105" s="18">
        <v>0</v>
      </c>
      <c r="K105" s="18">
        <v>5.956711E-3</v>
      </c>
      <c r="L105" s="18">
        <v>0.28335040700000003</v>
      </c>
      <c r="M105" s="49">
        <v>0.24653254399999999</v>
      </c>
      <c r="N105" s="72">
        <v>120</v>
      </c>
      <c r="O105" s="18" t="s">
        <v>29</v>
      </c>
      <c r="P105" s="18" t="s">
        <v>30</v>
      </c>
      <c r="Q105" s="18">
        <v>0.141504621</v>
      </c>
      <c r="R105" s="18" t="b">
        <v>0</v>
      </c>
      <c r="S105" s="18">
        <v>0.26020108600000003</v>
      </c>
      <c r="T105" s="18">
        <v>2.2808156E-2</v>
      </c>
      <c r="U105" s="18">
        <v>0</v>
      </c>
      <c r="V105" s="18">
        <v>0</v>
      </c>
      <c r="W105" s="49">
        <v>0</v>
      </c>
      <c r="X105" s="18">
        <v>120</v>
      </c>
      <c r="Y105" s="18" t="s">
        <v>30</v>
      </c>
      <c r="Z105" s="18" t="s">
        <v>31</v>
      </c>
      <c r="AA105" s="18">
        <v>4.0212921999999998E-2</v>
      </c>
      <c r="AB105" s="18" t="b">
        <v>1</v>
      </c>
      <c r="AC105" s="18">
        <v>0.142421619</v>
      </c>
      <c r="AD105" s="18">
        <v>0</v>
      </c>
      <c r="AE105" s="18">
        <v>3.0187119999999998E-3</v>
      </c>
      <c r="AF105" s="18">
        <v>0.999999941</v>
      </c>
      <c r="AG105" s="18">
        <v>0.18948870500000001</v>
      </c>
      <c r="AH105" s="72">
        <v>120</v>
      </c>
      <c r="AI105" s="18" t="s">
        <v>31</v>
      </c>
      <c r="AJ105" s="18" t="s">
        <v>32</v>
      </c>
      <c r="AK105" s="18">
        <v>0.38770279699999999</v>
      </c>
      <c r="AL105" s="18" t="b">
        <v>0</v>
      </c>
      <c r="AM105" s="18">
        <v>0.52652249600000001</v>
      </c>
      <c r="AN105" s="18">
        <v>0.248883097</v>
      </c>
      <c r="AO105" s="18">
        <v>0</v>
      </c>
      <c r="AP105" s="18">
        <v>0</v>
      </c>
      <c r="AQ105" s="49">
        <v>0</v>
      </c>
      <c r="AR105" s="18">
        <v>120</v>
      </c>
      <c r="AS105" s="18" t="s">
        <v>32</v>
      </c>
      <c r="AT105" s="18" t="s">
        <v>33</v>
      </c>
      <c r="AU105" s="18"/>
      <c r="AV105" s="18" t="b">
        <v>1</v>
      </c>
      <c r="AW105" s="18"/>
      <c r="AX105" s="18"/>
      <c r="AY105" s="18"/>
      <c r="AZ105" s="18"/>
      <c r="BA105" s="49"/>
      <c r="BB105" s="72">
        <v>120</v>
      </c>
      <c r="BC105" s="18" t="s">
        <v>33</v>
      </c>
      <c r="BD105" s="18" t="s">
        <v>34</v>
      </c>
      <c r="BE105" s="18"/>
      <c r="BF105" s="18" t="b">
        <v>1</v>
      </c>
      <c r="BG105" s="18"/>
      <c r="BH105" s="18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18"/>
      <c r="BP105" s="18" t="b">
        <v>1</v>
      </c>
      <c r="BQ105" s="18"/>
      <c r="BR105" s="18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18"/>
      <c r="BZ105" s="18" t="b">
        <v>1</v>
      </c>
      <c r="CA105" s="18"/>
      <c r="CB105" s="18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8"/>
      <c r="G106" s="18"/>
      <c r="H106" s="18" t="b">
        <v>1</v>
      </c>
      <c r="I106" s="18"/>
      <c r="J106" s="18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18"/>
      <c r="R106" s="18" t="b">
        <v>1</v>
      </c>
      <c r="S106" s="18"/>
      <c r="T106" s="18">
        <v>0</v>
      </c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18"/>
      <c r="AB106" s="18" t="b">
        <v>1</v>
      </c>
      <c r="AC106" s="18"/>
      <c r="AD106" s="18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18"/>
      <c r="AL106" s="18" t="b">
        <v>1</v>
      </c>
      <c r="AM106" s="18"/>
      <c r="AN106" s="18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18"/>
      <c r="AV106" s="18" t="b">
        <v>1</v>
      </c>
      <c r="AW106" s="18"/>
      <c r="AX106" s="18"/>
      <c r="AY106" s="18"/>
      <c r="AZ106" s="18"/>
      <c r="BA106" s="49"/>
      <c r="BB106" s="72">
        <v>121</v>
      </c>
      <c r="BC106" s="18" t="s">
        <v>33</v>
      </c>
      <c r="BD106" s="18" t="s">
        <v>34</v>
      </c>
      <c r="BE106" s="18">
        <v>0.31836492</v>
      </c>
      <c r="BF106" s="18" t="b">
        <v>0</v>
      </c>
      <c r="BG106" s="18">
        <v>0.85337927999999996</v>
      </c>
      <c r="BH106" s="18">
        <v>0</v>
      </c>
      <c r="BI106" s="18">
        <v>0</v>
      </c>
      <c r="BJ106" s="18">
        <v>0</v>
      </c>
      <c r="BK106" s="49">
        <v>0</v>
      </c>
      <c r="BL106" s="18">
        <v>121</v>
      </c>
      <c r="BM106" s="18" t="s">
        <v>34</v>
      </c>
      <c r="BN106" s="18" t="s">
        <v>35</v>
      </c>
      <c r="BO106" s="18">
        <v>3.0728808E-2</v>
      </c>
      <c r="BP106" s="18" t="b">
        <v>0</v>
      </c>
      <c r="BQ106" s="18">
        <v>0.91915265700000004</v>
      </c>
      <c r="BR106" s="18">
        <v>0</v>
      </c>
      <c r="BS106" s="18">
        <v>0</v>
      </c>
      <c r="BT106" s="18">
        <v>0</v>
      </c>
      <c r="BU106" s="49">
        <v>0</v>
      </c>
      <c r="BV106" s="18">
        <v>121</v>
      </c>
      <c r="BW106" s="18" t="s">
        <v>35</v>
      </c>
      <c r="BX106" s="18" t="s">
        <v>36</v>
      </c>
      <c r="BY106" s="18">
        <v>4.7185190000000002E-2</v>
      </c>
      <c r="BZ106" s="18" t="b">
        <v>0</v>
      </c>
      <c r="CA106" s="18">
        <v>0.92624525199999996</v>
      </c>
      <c r="CB106" s="18">
        <v>0</v>
      </c>
      <c r="CC106" s="18">
        <v>0</v>
      </c>
      <c r="CD106" s="18">
        <v>0</v>
      </c>
      <c r="CE106" s="18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8"/>
      <c r="G107" s="18"/>
      <c r="H107" s="18" t="b">
        <v>1</v>
      </c>
      <c r="I107" s="18"/>
      <c r="J107" s="18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18"/>
      <c r="R107" s="18" t="b">
        <v>1</v>
      </c>
      <c r="S107" s="18"/>
      <c r="T107" s="18">
        <v>0</v>
      </c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18"/>
      <c r="AB107" s="18" t="b">
        <v>1</v>
      </c>
      <c r="AC107" s="18"/>
      <c r="AD107" s="18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18"/>
      <c r="AL107" s="18" t="b">
        <v>1</v>
      </c>
      <c r="AM107" s="18"/>
      <c r="AN107" s="18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18"/>
      <c r="AV107" s="18" t="b">
        <v>1</v>
      </c>
      <c r="AW107" s="18"/>
      <c r="AX107" s="18"/>
      <c r="AY107" s="18"/>
      <c r="AZ107" s="18"/>
      <c r="BA107" s="49"/>
      <c r="BB107" s="72">
        <v>125</v>
      </c>
      <c r="BC107" s="18" t="s">
        <v>33</v>
      </c>
      <c r="BD107" s="18" t="s">
        <v>34</v>
      </c>
      <c r="BE107" s="18">
        <v>1.125836796</v>
      </c>
      <c r="BF107" s="18" t="b">
        <v>0</v>
      </c>
      <c r="BG107" s="18">
        <v>1.2294692650000001</v>
      </c>
      <c r="BH107" s="18">
        <v>1.0222043270000001</v>
      </c>
      <c r="BI107" s="18">
        <v>0</v>
      </c>
      <c r="BJ107" s="18">
        <v>0</v>
      </c>
      <c r="BK107" s="49">
        <v>0</v>
      </c>
      <c r="BL107" s="18">
        <v>125</v>
      </c>
      <c r="BM107" s="18" t="s">
        <v>34</v>
      </c>
      <c r="BN107" s="18" t="s">
        <v>35</v>
      </c>
      <c r="BO107" s="18">
        <v>2.6234546000000001E-2</v>
      </c>
      <c r="BP107" s="18" t="b">
        <v>0</v>
      </c>
      <c r="BQ107" s="18">
        <v>4.0946300999999997E-2</v>
      </c>
      <c r="BR107" s="18">
        <v>1.152279E-2</v>
      </c>
      <c r="BS107" s="18">
        <v>0</v>
      </c>
      <c r="BT107" s="18">
        <v>0</v>
      </c>
      <c r="BU107" s="49">
        <v>0</v>
      </c>
      <c r="BV107" s="18">
        <v>125</v>
      </c>
      <c r="BW107" s="18" t="s">
        <v>35</v>
      </c>
      <c r="BX107" s="18" t="s">
        <v>36</v>
      </c>
      <c r="BY107" s="18">
        <v>3.4154856999999997E-2</v>
      </c>
      <c r="BZ107" s="18" t="b">
        <v>1</v>
      </c>
      <c r="CA107" s="18">
        <v>9.1444316999999997E-2</v>
      </c>
      <c r="CB107" s="18">
        <v>0</v>
      </c>
      <c r="CC107" s="18">
        <v>4.27119E-4</v>
      </c>
      <c r="CD107" s="18">
        <v>0.99839731300000001</v>
      </c>
      <c r="CE107" s="18">
        <v>6.5326211999999995E-2</v>
      </c>
    </row>
    <row r="108" spans="1:83" x14ac:dyDescent="0.25">
      <c r="A108" s="18">
        <v>128</v>
      </c>
      <c r="B108" s="18">
        <v>45</v>
      </c>
      <c r="C108" s="18">
        <v>128</v>
      </c>
      <c r="D108" s="72" t="s">
        <v>28</v>
      </c>
      <c r="E108" s="18" t="s">
        <v>29</v>
      </c>
      <c r="F108" s="18">
        <v>0.525932179</v>
      </c>
      <c r="G108" s="18"/>
      <c r="H108" s="18" t="b">
        <v>0</v>
      </c>
      <c r="I108" s="18">
        <v>0.646435961</v>
      </c>
      <c r="J108" s="18">
        <v>0.40542839800000002</v>
      </c>
      <c r="K108" s="18">
        <v>0</v>
      </c>
      <c r="L108" s="18">
        <v>0</v>
      </c>
      <c r="M108" s="49">
        <v>0</v>
      </c>
      <c r="N108" s="72">
        <v>128</v>
      </c>
      <c r="O108" s="18" t="s">
        <v>29</v>
      </c>
      <c r="P108" s="18" t="s">
        <v>30</v>
      </c>
      <c r="Q108" s="18">
        <v>8.9078747999999999E-2</v>
      </c>
      <c r="R108" s="18" t="b">
        <v>1</v>
      </c>
      <c r="S108" s="18">
        <v>0.26372129900000002</v>
      </c>
      <c r="T108" s="18">
        <v>0</v>
      </c>
      <c r="U108" s="18">
        <v>8.576831E-3</v>
      </c>
      <c r="V108" s="18">
        <v>0.59784192999999997</v>
      </c>
      <c r="W108" s="49">
        <v>0.23816223</v>
      </c>
      <c r="X108" s="18">
        <v>128</v>
      </c>
      <c r="Y108" s="18" t="s">
        <v>30</v>
      </c>
      <c r="Z108" s="18" t="s">
        <v>31</v>
      </c>
      <c r="AA108" s="18">
        <v>1.0247378999999999E-2</v>
      </c>
      <c r="AB108" s="18" t="b">
        <v>1</v>
      </c>
      <c r="AC108" s="18">
        <v>0.222913103</v>
      </c>
      <c r="AD108" s="18">
        <v>0</v>
      </c>
      <c r="AE108" s="18">
        <v>3.3321862000000001E-2</v>
      </c>
      <c r="AF108" s="18">
        <v>0.95116255199999999</v>
      </c>
      <c r="AG108" s="18">
        <v>0.92528454500000001</v>
      </c>
      <c r="AH108" s="72">
        <v>128</v>
      </c>
      <c r="AI108" s="18" t="s">
        <v>31</v>
      </c>
      <c r="AJ108" s="18" t="s">
        <v>32</v>
      </c>
      <c r="AK108" s="18">
        <v>3.1543506999999998E-2</v>
      </c>
      <c r="AL108" s="18" t="b">
        <v>1</v>
      </c>
      <c r="AM108" s="18">
        <v>0.23445255400000001</v>
      </c>
      <c r="AN108" s="18">
        <v>0</v>
      </c>
      <c r="AO108" s="18">
        <v>2.5790886999999998E-2</v>
      </c>
      <c r="AP108" s="18">
        <v>0.86697486199999996</v>
      </c>
      <c r="AQ108" s="49">
        <v>0.73619314599999996</v>
      </c>
      <c r="AR108" s="18">
        <v>128</v>
      </c>
      <c r="AS108" s="18" t="s">
        <v>32</v>
      </c>
      <c r="AT108" s="18" t="s">
        <v>33</v>
      </c>
      <c r="AU108" s="18">
        <v>9.8105556999999996E-2</v>
      </c>
      <c r="AV108" s="18" t="b">
        <v>1</v>
      </c>
      <c r="AW108" s="18">
        <v>0.27649185599999998</v>
      </c>
      <c r="AX108" s="18">
        <v>0</v>
      </c>
      <c r="AY108" s="18">
        <v>8.3491490000000002E-3</v>
      </c>
      <c r="AZ108" s="18">
        <v>0.404295079</v>
      </c>
      <c r="BA108" s="49">
        <v>0.28066123599999998</v>
      </c>
      <c r="BB108" s="72">
        <v>128</v>
      </c>
      <c r="BC108" s="18" t="s">
        <v>33</v>
      </c>
      <c r="BD108" s="18" t="s">
        <v>34</v>
      </c>
      <c r="BE108" s="18">
        <v>0.29193071100000001</v>
      </c>
      <c r="BF108" s="18" t="b">
        <v>1</v>
      </c>
      <c r="BG108" s="18">
        <v>0.65985417599999996</v>
      </c>
      <c r="BH108" s="18">
        <v>0</v>
      </c>
      <c r="BI108" s="18">
        <v>8.8928919999999995E-3</v>
      </c>
      <c r="BJ108" s="18">
        <v>0.43062502499999999</v>
      </c>
      <c r="BK108" s="49">
        <v>3.4402795E-2</v>
      </c>
      <c r="BL108" s="18">
        <v>128</v>
      </c>
      <c r="BM108" s="18" t="s">
        <v>34</v>
      </c>
      <c r="BN108" s="18" t="s">
        <v>35</v>
      </c>
      <c r="BO108" s="18"/>
      <c r="BP108" s="18" t="b">
        <v>1</v>
      </c>
      <c r="BQ108" s="18"/>
      <c r="BR108" s="18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18"/>
      <c r="BZ108" s="18" t="b">
        <v>1</v>
      </c>
      <c r="CA108" s="18"/>
      <c r="CB108" s="18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1"/>
      <c r="G109" s="21"/>
      <c r="H109" s="21" t="b">
        <v>1</v>
      </c>
      <c r="I109" s="21"/>
      <c r="J109" s="21"/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1"/>
      <c r="R109" s="21" t="b">
        <v>1</v>
      </c>
      <c r="S109" s="21"/>
      <c r="T109" s="21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1"/>
      <c r="AB109" s="21" t="b">
        <v>1</v>
      </c>
      <c r="AC109" s="21"/>
      <c r="AD109" s="21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1"/>
      <c r="AL109" s="21" t="b">
        <v>1</v>
      </c>
      <c r="AM109" s="21"/>
      <c r="AN109" s="21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 t="b">
        <v>1</v>
      </c>
      <c r="AW109" s="21"/>
      <c r="AX109" s="21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1"/>
      <c r="BF109" s="21" t="b">
        <v>1</v>
      </c>
      <c r="BG109" s="21"/>
      <c r="BH109" s="21"/>
      <c r="BI109" s="21"/>
      <c r="BJ109" s="21"/>
      <c r="BK109" s="50"/>
      <c r="BL109" s="21">
        <v>132</v>
      </c>
      <c r="BM109" s="21" t="s">
        <v>34</v>
      </c>
      <c r="BN109" s="21" t="s">
        <v>35</v>
      </c>
      <c r="BO109" s="21">
        <v>4.9094869999999997E-3</v>
      </c>
      <c r="BP109" s="21" t="b">
        <v>0</v>
      </c>
      <c r="BQ109" s="21">
        <v>9.7661913000000003E-2</v>
      </c>
      <c r="BR109" s="21">
        <v>0</v>
      </c>
      <c r="BS109" s="21">
        <v>0</v>
      </c>
      <c r="BT109" s="21">
        <v>0</v>
      </c>
      <c r="BU109" s="50">
        <v>0</v>
      </c>
      <c r="BV109" s="21">
        <v>132</v>
      </c>
      <c r="BW109" s="21" t="s">
        <v>35</v>
      </c>
      <c r="BX109" s="21" t="s">
        <v>36</v>
      </c>
      <c r="BY109" s="21">
        <v>0.104407504</v>
      </c>
      <c r="BZ109" s="21" t="b">
        <v>1</v>
      </c>
      <c r="CA109" s="21">
        <v>0.28063769900000002</v>
      </c>
      <c r="CB109" s="21">
        <v>0</v>
      </c>
      <c r="CC109" s="21">
        <v>7.0722579999999997E-3</v>
      </c>
      <c r="CD109" s="21">
        <v>0.355411064</v>
      </c>
      <c r="CE109" s="21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18"/>
      <c r="J110" s="18"/>
      <c r="K110" s="18"/>
      <c r="L110" s="18"/>
      <c r="M110" s="49"/>
      <c r="N110" s="72"/>
      <c r="O110" s="18"/>
      <c r="P110" s="18"/>
      <c r="Q110" s="18"/>
      <c r="R110" s="18"/>
      <c r="S110" s="18"/>
      <c r="T110" s="18"/>
      <c r="U110" s="18"/>
      <c r="V110" s="18"/>
      <c r="W110" s="49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72"/>
      <c r="AI110" s="18"/>
      <c r="AJ110" s="18"/>
      <c r="AK110" s="18"/>
      <c r="AL110" s="18"/>
      <c r="AM110" s="18"/>
      <c r="AN110" s="18"/>
      <c r="AO110" s="18"/>
      <c r="AP110" s="18"/>
      <c r="AQ110" s="49"/>
      <c r="AR110" s="18"/>
      <c r="AS110" s="18"/>
      <c r="AT110" s="18"/>
      <c r="AU110" s="18"/>
      <c r="AV110" s="18"/>
      <c r="AW110" s="18"/>
      <c r="AX110" s="18"/>
      <c r="AY110" s="18"/>
      <c r="AZ110" s="18"/>
      <c r="BA110" s="49"/>
      <c r="BB110" s="72"/>
      <c r="BC110" s="18"/>
      <c r="BD110" s="18"/>
      <c r="BE110" s="18"/>
      <c r="BF110" s="18"/>
      <c r="BG110" s="18"/>
      <c r="BH110" s="18"/>
      <c r="BI110" s="18"/>
      <c r="BJ110" s="18"/>
      <c r="BK110" s="49"/>
      <c r="BL110" s="18">
        <v>158</v>
      </c>
      <c r="BM110" s="18" t="s">
        <v>34</v>
      </c>
      <c r="BN110" s="18" t="s">
        <v>35</v>
      </c>
      <c r="BO110" s="18">
        <v>9.9460270455827296E-2</v>
      </c>
      <c r="BP110" s="18"/>
      <c r="BQ110" s="18">
        <v>0.42080030582590999</v>
      </c>
      <c r="BR110" s="18">
        <v>0</v>
      </c>
      <c r="BT110" s="18"/>
      <c r="BU110" s="49"/>
      <c r="BV110" s="18">
        <v>158</v>
      </c>
      <c r="BW110" s="18" t="s">
        <v>35</v>
      </c>
      <c r="BX110" s="18" t="s">
        <v>36</v>
      </c>
      <c r="BY110" s="18">
        <v>5.6924065470297498E-2</v>
      </c>
      <c r="CA110" s="18">
        <v>0.32968238198231498</v>
      </c>
      <c r="CB110" s="18">
        <v>0</v>
      </c>
      <c r="CC110"/>
      <c r="CD110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18"/>
      <c r="J111" s="18"/>
      <c r="K111" s="18"/>
      <c r="L111" s="18"/>
      <c r="M111" s="49"/>
      <c r="N111" s="72"/>
      <c r="O111" s="18"/>
      <c r="P111" s="18"/>
      <c r="Q111" s="18"/>
      <c r="R111" s="18"/>
      <c r="S111" s="18"/>
      <c r="T111" s="18"/>
      <c r="U111" s="18"/>
      <c r="V111" s="18"/>
      <c r="W111" s="49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72"/>
      <c r="AI111" s="18"/>
      <c r="AJ111" s="18"/>
      <c r="AK111" s="18"/>
      <c r="AL111" s="18"/>
      <c r="AM111" s="18"/>
      <c r="AN111" s="18"/>
      <c r="AO111" s="18"/>
      <c r="AP111" s="18"/>
      <c r="AQ111" s="49"/>
      <c r="AR111" s="18"/>
      <c r="AS111" s="18"/>
      <c r="AT111" s="18"/>
      <c r="AU111" s="18"/>
      <c r="AV111" s="18"/>
      <c r="AW111" s="18"/>
      <c r="AX111" s="18"/>
      <c r="AY111" s="18"/>
      <c r="AZ111" s="18"/>
      <c r="BA111" s="49"/>
      <c r="BB111" s="72"/>
      <c r="BC111" s="18"/>
      <c r="BD111" s="18"/>
      <c r="BE111" s="18"/>
      <c r="BF111" s="18"/>
      <c r="BG111" s="18"/>
      <c r="BH111" s="18"/>
      <c r="BI111" s="18"/>
      <c r="BJ111" s="18"/>
      <c r="BK111" s="49"/>
      <c r="BL111" s="18">
        <v>159</v>
      </c>
      <c r="BM111" s="18" t="s">
        <v>34</v>
      </c>
      <c r="BN111" s="18" t="s">
        <v>35</v>
      </c>
      <c r="BO111" s="18">
        <v>4.62454054543181E-2</v>
      </c>
      <c r="BP111" s="18"/>
      <c r="BQ111" s="18">
        <v>0.13418038210098601</v>
      </c>
      <c r="BR111" s="18">
        <v>0</v>
      </c>
      <c r="BT111" s="18"/>
      <c r="BU111" s="49"/>
      <c r="BV111" s="18">
        <v>159</v>
      </c>
      <c r="BW111" s="18" t="s">
        <v>35</v>
      </c>
      <c r="BX111" s="18" t="s">
        <v>36</v>
      </c>
      <c r="BY111" s="18">
        <v>3.0598993316581899</v>
      </c>
      <c r="CA111" s="18">
        <v>3.9373483320818998</v>
      </c>
      <c r="CB111" s="18">
        <v>2.1824503312344801</v>
      </c>
      <c r="CC111"/>
      <c r="CD111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18"/>
      <c r="J112" s="18"/>
      <c r="K112" s="18"/>
      <c r="L112" s="18"/>
      <c r="M112" s="49"/>
      <c r="N112" s="72"/>
      <c r="O112" s="18"/>
      <c r="P112" s="18"/>
      <c r="Q112" s="18"/>
      <c r="R112" s="18"/>
      <c r="S112" s="18"/>
      <c r="T112" s="18"/>
      <c r="U112" s="18"/>
      <c r="V112" s="18"/>
      <c r="W112" s="49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72"/>
      <c r="AI112" s="18"/>
      <c r="AJ112" s="18"/>
      <c r="AK112" s="18"/>
      <c r="AL112" s="18"/>
      <c r="AM112" s="18"/>
      <c r="AN112" s="18"/>
      <c r="AO112" s="18"/>
      <c r="AP112" s="18"/>
      <c r="AQ112" s="49"/>
      <c r="AR112" s="18"/>
      <c r="AS112" s="18"/>
      <c r="AT112" s="18"/>
      <c r="AU112" s="18"/>
      <c r="AV112" s="18"/>
      <c r="AW112" s="18"/>
      <c r="AX112" s="18"/>
      <c r="AY112" s="18"/>
      <c r="AZ112" s="18"/>
      <c r="BA112" s="49"/>
      <c r="BB112" s="72"/>
      <c r="BC112" s="18"/>
      <c r="BD112" s="18"/>
      <c r="BE112" s="18"/>
      <c r="BF112" s="18"/>
      <c r="BG112" s="18"/>
      <c r="BH112" s="18"/>
      <c r="BI112" s="18"/>
      <c r="BJ112" s="18"/>
      <c r="BK112" s="49"/>
      <c r="BL112" s="18">
        <v>160</v>
      </c>
      <c r="BM112" s="18" t="s">
        <v>34</v>
      </c>
      <c r="BN112" s="18" t="s">
        <v>35</v>
      </c>
      <c r="BO112" s="18">
        <v>9.5638900256756795E-2</v>
      </c>
      <c r="BP112" s="18"/>
      <c r="BQ112" s="18">
        <v>0.38213841476111199</v>
      </c>
      <c r="BR112" s="18">
        <v>0</v>
      </c>
      <c r="BT112" s="18"/>
      <c r="BU112" s="49"/>
      <c r="BV112" s="18">
        <v>160</v>
      </c>
      <c r="BW112" s="18" t="s">
        <v>35</v>
      </c>
      <c r="BX112" s="18" t="s">
        <v>36</v>
      </c>
      <c r="BY112" s="18">
        <v>4.4760296540917302E-2</v>
      </c>
      <c r="CA112" s="18">
        <v>0.274901138586229</v>
      </c>
      <c r="CB112" s="18">
        <v>0</v>
      </c>
      <c r="CC112"/>
      <c r="CD112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18"/>
      <c r="J113" s="18"/>
      <c r="K113" s="18"/>
      <c r="L113" s="18"/>
      <c r="M113" s="49"/>
      <c r="N113" s="72"/>
      <c r="O113" s="18"/>
      <c r="P113" s="18"/>
      <c r="Q113" s="18"/>
      <c r="R113" s="18"/>
      <c r="S113" s="18"/>
      <c r="T113" s="18"/>
      <c r="U113" s="18"/>
      <c r="V113" s="18"/>
      <c r="W113" s="49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72"/>
      <c r="AI113" s="18"/>
      <c r="AJ113" s="18"/>
      <c r="AK113" s="18"/>
      <c r="AL113" s="18"/>
      <c r="AM113" s="18"/>
      <c r="AN113" s="18"/>
      <c r="AO113" s="18"/>
      <c r="AP113" s="18"/>
      <c r="AQ113" s="49"/>
      <c r="AR113" s="18"/>
      <c r="AS113" s="18"/>
      <c r="AT113" s="18"/>
      <c r="AU113" s="18"/>
      <c r="AV113" s="18"/>
      <c r="AW113" s="18"/>
      <c r="AX113" s="18"/>
      <c r="AY113" s="18"/>
      <c r="AZ113" s="18"/>
      <c r="BA113" s="49"/>
      <c r="BB113" s="72"/>
      <c r="BC113" s="18"/>
      <c r="BD113" s="18"/>
      <c r="BE113" s="18"/>
      <c r="BF113" s="18"/>
      <c r="BG113" s="18"/>
      <c r="BH113" s="18"/>
      <c r="BI113" s="18"/>
      <c r="BJ113" s="18"/>
      <c r="BK113" s="49"/>
      <c r="BL113" s="18">
        <v>161</v>
      </c>
      <c r="BM113" s="18" t="s">
        <v>34</v>
      </c>
      <c r="BN113" s="18" t="s">
        <v>35</v>
      </c>
      <c r="BO113" s="18">
        <v>3.4193095480730698E-2</v>
      </c>
      <c r="BP113" s="18"/>
      <c r="BQ113" s="18">
        <v>8.3865538965035402E-2</v>
      </c>
      <c r="BR113" s="18">
        <v>0</v>
      </c>
      <c r="BT113" s="18"/>
      <c r="BU113" s="49"/>
      <c r="BV113" s="18">
        <v>161</v>
      </c>
      <c r="BW113" s="18" t="s">
        <v>35</v>
      </c>
      <c r="BX113" s="18" t="s">
        <v>36</v>
      </c>
      <c r="BY113" s="18">
        <v>2.70105757418143</v>
      </c>
      <c r="CA113" s="18">
        <v>4.189350888551</v>
      </c>
      <c r="CB113" s="18">
        <v>1.21276425981187</v>
      </c>
      <c r="CC113"/>
      <c r="CD113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18"/>
      <c r="J114" s="18"/>
      <c r="K114" s="18"/>
      <c r="L114" s="18"/>
      <c r="M114" s="49"/>
      <c r="N114" s="72"/>
      <c r="O114" s="18"/>
      <c r="P114" s="18"/>
      <c r="Q114" s="18"/>
      <c r="R114" s="18"/>
      <c r="S114" s="18"/>
      <c r="T114" s="18"/>
      <c r="U114" s="18"/>
      <c r="V114" s="18"/>
      <c r="W114" s="49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72"/>
      <c r="AI114" s="18"/>
      <c r="AJ114" s="18"/>
      <c r="AK114" s="18"/>
      <c r="AL114" s="18"/>
      <c r="AM114" s="18"/>
      <c r="AN114" s="18"/>
      <c r="AO114" s="18"/>
      <c r="AP114" s="18"/>
      <c r="AQ114" s="49"/>
      <c r="AR114" s="18"/>
      <c r="AS114" s="18"/>
      <c r="AT114" s="18"/>
      <c r="AU114" s="18"/>
      <c r="AV114" s="18"/>
      <c r="AW114" s="18"/>
      <c r="AX114" s="18"/>
      <c r="AY114" s="18"/>
      <c r="AZ114" s="18"/>
      <c r="BA114" s="49"/>
      <c r="BB114" s="72"/>
      <c r="BC114" s="18"/>
      <c r="BD114" s="18"/>
      <c r="BE114" s="18"/>
      <c r="BF114" s="18"/>
      <c r="BG114" s="18"/>
      <c r="BH114" s="18"/>
      <c r="BI114" s="18"/>
      <c r="BJ114" s="18"/>
      <c r="BK114" s="49"/>
      <c r="BL114" s="18">
        <v>162</v>
      </c>
      <c r="BM114" s="18" t="s">
        <v>34</v>
      </c>
      <c r="BN114" s="18" t="s">
        <v>35</v>
      </c>
      <c r="BO114" s="18">
        <v>0.108054298904429</v>
      </c>
      <c r="BP114" s="18"/>
      <c r="BQ114" s="18">
        <v>0.230610154977786</v>
      </c>
      <c r="BR114" s="18">
        <v>0</v>
      </c>
      <c r="BT114" s="18"/>
      <c r="BU114" s="49"/>
      <c r="BV114" s="18">
        <v>162</v>
      </c>
      <c r="BW114" s="18" t="s">
        <v>35</v>
      </c>
      <c r="BX114" s="18" t="s">
        <v>36</v>
      </c>
      <c r="BY114" s="18">
        <v>0.14842885576718701</v>
      </c>
      <c r="CA114" s="18">
        <v>0.376611993819091</v>
      </c>
      <c r="CB114" s="18">
        <v>0</v>
      </c>
      <c r="CC114"/>
      <c r="CD114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18"/>
      <c r="J115" s="18"/>
      <c r="K115" s="18"/>
      <c r="L115" s="18"/>
      <c r="M115" s="49"/>
      <c r="N115" s="72"/>
      <c r="O115" s="18"/>
      <c r="P115" s="18"/>
      <c r="Q115" s="18"/>
      <c r="R115" s="18"/>
      <c r="S115" s="18"/>
      <c r="T115" s="18"/>
      <c r="U115" s="18"/>
      <c r="V115" s="18"/>
      <c r="W115" s="49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72"/>
      <c r="AI115" s="18"/>
      <c r="AJ115" s="18"/>
      <c r="AK115" s="18"/>
      <c r="AL115" s="18"/>
      <c r="AM115" s="18"/>
      <c r="AN115" s="18"/>
      <c r="AO115" s="18"/>
      <c r="AP115" s="18"/>
      <c r="AQ115" s="49"/>
      <c r="AR115" s="18"/>
      <c r="AS115" s="18"/>
      <c r="AT115" s="18"/>
      <c r="AU115" s="18"/>
      <c r="AV115" s="18"/>
      <c r="AW115" s="18"/>
      <c r="AX115" s="18"/>
      <c r="AY115" s="18"/>
      <c r="AZ115" s="18"/>
      <c r="BA115" s="49"/>
      <c r="BB115" s="72"/>
      <c r="BC115" s="18"/>
      <c r="BD115" s="18"/>
      <c r="BE115" s="18"/>
      <c r="BF115" s="18"/>
      <c r="BG115" s="18"/>
      <c r="BH115" s="18"/>
      <c r="BI115" s="18"/>
      <c r="BJ115" s="18"/>
      <c r="BK115" s="49"/>
      <c r="BL115" s="18">
        <v>163</v>
      </c>
      <c r="BM115" s="18" t="s">
        <v>34</v>
      </c>
      <c r="BN115" s="18" t="s">
        <v>35</v>
      </c>
      <c r="BO115" s="18">
        <v>7.8333783525464495E-2</v>
      </c>
      <c r="BP115" s="18"/>
      <c r="BQ115" s="18">
        <v>0.20118492384845699</v>
      </c>
      <c r="BR115" s="18">
        <v>0</v>
      </c>
      <c r="BT115" s="18"/>
      <c r="BU115" s="49"/>
      <c r="BV115" s="18">
        <v>163</v>
      </c>
      <c r="BW115" s="18" t="s">
        <v>35</v>
      </c>
      <c r="BX115" s="18" t="s">
        <v>36</v>
      </c>
      <c r="BY115" s="18">
        <v>2.71617514053756</v>
      </c>
      <c r="CA115" s="18">
        <v>4.9938540993018901</v>
      </c>
      <c r="CB115" s="18">
        <v>0.43849618177323901</v>
      </c>
      <c r="CC115"/>
      <c r="CD115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18"/>
      <c r="J116" s="18"/>
      <c r="K116" s="18"/>
      <c r="L116" s="18"/>
      <c r="M116" s="49"/>
      <c r="N116" s="72"/>
      <c r="O116" s="18"/>
      <c r="P116" s="18"/>
      <c r="Q116" s="18"/>
      <c r="R116" s="18"/>
      <c r="S116" s="18"/>
      <c r="T116" s="18"/>
      <c r="U116" s="18"/>
      <c r="V116" s="18"/>
      <c r="W116" s="49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72"/>
      <c r="AI116" s="18"/>
      <c r="AJ116" s="18"/>
      <c r="AK116" s="18"/>
      <c r="AL116" s="18"/>
      <c r="AM116" s="18"/>
      <c r="AN116" s="18"/>
      <c r="AO116" s="18"/>
      <c r="AP116" s="18"/>
      <c r="AQ116" s="49"/>
      <c r="AR116" s="18"/>
      <c r="AS116" s="18"/>
      <c r="AT116" s="18"/>
      <c r="AU116" s="18"/>
      <c r="AV116" s="18"/>
      <c r="AW116" s="18"/>
      <c r="AX116" s="18"/>
      <c r="AY116" s="18"/>
      <c r="AZ116" s="18"/>
      <c r="BA116" s="49"/>
      <c r="BB116" s="72"/>
      <c r="BC116" s="18"/>
      <c r="BD116" s="18"/>
      <c r="BE116" s="18"/>
      <c r="BF116" s="18"/>
      <c r="BG116" s="18"/>
      <c r="BH116" s="18"/>
      <c r="BI116" s="18"/>
      <c r="BJ116" s="18"/>
      <c r="BK116" s="49"/>
      <c r="BL116" s="18">
        <v>164</v>
      </c>
      <c r="BM116" s="18" t="s">
        <v>34</v>
      </c>
      <c r="BN116" s="18" t="s">
        <v>35</v>
      </c>
      <c r="BO116" s="18">
        <v>4.1068776587308599E-2</v>
      </c>
      <c r="BP116" s="18"/>
      <c r="BQ116" s="18">
        <v>0.43239810764186898</v>
      </c>
      <c r="BR116" s="18">
        <v>0</v>
      </c>
      <c r="BT116" s="18"/>
      <c r="BU116" s="49"/>
      <c r="BV116" s="18">
        <v>164</v>
      </c>
      <c r="BW116" s="18" t="s">
        <v>35</v>
      </c>
      <c r="BX116" s="18" t="s">
        <v>36</v>
      </c>
      <c r="BY116" s="18">
        <v>1.8695275135947501E-2</v>
      </c>
      <c r="CA116" s="18">
        <v>0.42754148441573397</v>
      </c>
      <c r="CB116" s="18">
        <v>0</v>
      </c>
      <c r="CC116"/>
      <c r="CD11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92">
        <f>AVERAGE(I67:I116)</f>
        <v>0.73782542447058819</v>
      </c>
      <c r="J117" s="92">
        <f>AVERAGE(J67:J116)</f>
        <v>0.24142918010526318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92">
        <f>AVERAGE(S67:S116)</f>
        <v>0.48243900925000005</v>
      </c>
      <c r="T117" s="92">
        <f>AVERAGE(T67:T116)</f>
        <v>0.15773432466666665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92">
        <f>AVERAGE(AC67:AC116)</f>
        <v>0.27017333249999997</v>
      </c>
      <c r="AD117" s="92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0.18388245435294115</v>
      </c>
      <c r="AL117" s="92"/>
      <c r="AM117" s="92">
        <f>AVERAGE(AM67:AM116)</f>
        <v>0.32799195052941182</v>
      </c>
      <c r="AN117" s="92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92">
        <f>AVERAGE(AW67:AW116)</f>
        <v>0.39651674559999994</v>
      </c>
      <c r="AX117" s="92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92">
        <f>AVERAGE(BG67:BG116)</f>
        <v>2.1326918741428571</v>
      </c>
      <c r="BH117" s="92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92">
        <f>AVERAGE(BQ67:BQ116)</f>
        <v>0.51896475996484626</v>
      </c>
      <c r="BR117" s="92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92">
        <f>AVERAGE(CA67:CA116)</f>
        <v>2.095523601249377</v>
      </c>
      <c r="CB117" s="92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 t="b">
        <v>1</v>
      </c>
      <c r="I118" s="22"/>
      <c r="J118" s="22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2"/>
      <c r="T118" s="22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 t="b">
        <v>1</v>
      </c>
      <c r="AC118" s="22"/>
      <c r="AD118" s="22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2"/>
      <c r="AL118" s="22" t="b">
        <v>1</v>
      </c>
      <c r="AM118" s="22"/>
      <c r="AN118" s="22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 t="b">
        <v>1</v>
      </c>
      <c r="AW118" s="22"/>
      <c r="AX118" s="22"/>
      <c r="AY118" s="22"/>
      <c r="AZ118" s="22"/>
      <c r="BA118" s="51"/>
      <c r="BB118" s="74">
        <v>40</v>
      </c>
      <c r="BC118" s="22" t="s">
        <v>33</v>
      </c>
      <c r="BD118" s="22" t="s">
        <v>34</v>
      </c>
      <c r="BE118" s="22">
        <v>0.86063787800000002</v>
      </c>
      <c r="BF118" s="22" t="b">
        <v>0</v>
      </c>
      <c r="BG118" s="22">
        <v>1.3823844789999999</v>
      </c>
      <c r="BH118" s="22">
        <v>0.33889127699999999</v>
      </c>
      <c r="BI118" s="22">
        <v>0</v>
      </c>
      <c r="BJ118" s="22">
        <v>0</v>
      </c>
      <c r="BK118" s="51">
        <v>0</v>
      </c>
      <c r="BL118" s="22">
        <v>40</v>
      </c>
      <c r="BM118" s="23" t="s">
        <v>34</v>
      </c>
      <c r="BN118" s="22" t="s">
        <v>35</v>
      </c>
      <c r="BO118" s="22"/>
      <c r="BP118" s="22" t="b">
        <v>1</v>
      </c>
      <c r="BQ118" s="22"/>
      <c r="BR118" s="22"/>
      <c r="BS118" s="22"/>
      <c r="BT118" s="22"/>
      <c r="BU118" s="51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2"/>
      <c r="CB118" s="22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3"/>
      <c r="T119" s="23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3"/>
      <c r="T120" s="23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/>
      <c r="BI120" s="23"/>
      <c r="BJ120" s="23"/>
      <c r="BK120" s="52"/>
      <c r="BL120" s="23">
        <v>52</v>
      </c>
      <c r="BM120" s="23" t="s">
        <v>34</v>
      </c>
      <c r="BN120" s="23" t="s">
        <v>35</v>
      </c>
      <c r="BO120" s="23">
        <v>0.64439422700000004</v>
      </c>
      <c r="BP120" s="23" t="b">
        <v>1</v>
      </c>
      <c r="BQ120" s="23">
        <v>1.396472282</v>
      </c>
      <c r="BR120" s="23">
        <v>0</v>
      </c>
      <c r="BS120" s="23">
        <v>2.6805161000000001E-2</v>
      </c>
      <c r="BT120" s="23">
        <v>0.119429282</v>
      </c>
      <c r="BU120" s="52">
        <v>3.6304502000000002E-2</v>
      </c>
      <c r="BV120" s="23">
        <v>52</v>
      </c>
      <c r="BW120" s="23" t="s">
        <v>35</v>
      </c>
      <c r="BX120" s="23" t="s">
        <v>36</v>
      </c>
      <c r="BY120" s="23">
        <v>3.7743185999999998E-2</v>
      </c>
      <c r="BZ120" s="23" t="b">
        <v>1</v>
      </c>
      <c r="CA120" s="23">
        <v>1.025944951</v>
      </c>
      <c r="CB120" s="23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23">
        <v>56</v>
      </c>
      <c r="B121" s="23">
        <v>32</v>
      </c>
      <c r="C121" s="23">
        <v>56</v>
      </c>
      <c r="D121" s="75" t="s">
        <v>28</v>
      </c>
      <c r="E121" s="23" t="s">
        <v>29</v>
      </c>
      <c r="F121" s="23">
        <v>2.2445050000000001E-2</v>
      </c>
      <c r="G121" s="23"/>
      <c r="H121" s="23" t="b">
        <v>1</v>
      </c>
      <c r="I121" s="23">
        <v>0.105002119</v>
      </c>
      <c r="J121" s="23">
        <v>0</v>
      </c>
      <c r="K121" s="23">
        <v>3.4615290000000001E-3</v>
      </c>
      <c r="L121" s="23">
        <v>0.77938995200000005</v>
      </c>
      <c r="M121" s="52">
        <v>0.54514456600000005</v>
      </c>
      <c r="N121" s="75">
        <v>56</v>
      </c>
      <c r="O121" s="23" t="s">
        <v>29</v>
      </c>
      <c r="P121" s="23" t="s">
        <v>30</v>
      </c>
      <c r="Q121" s="23">
        <v>0.104252542</v>
      </c>
      <c r="R121" s="23" t="b">
        <v>1</v>
      </c>
      <c r="S121" s="23">
        <v>0.25113001800000001</v>
      </c>
      <c r="T121" s="23">
        <v>0</v>
      </c>
      <c r="U121" s="23">
        <v>2.433466E-3</v>
      </c>
      <c r="V121" s="23">
        <v>0.54791368100000004</v>
      </c>
      <c r="W121" s="52">
        <v>6.4864908999999998E-2</v>
      </c>
      <c r="X121" s="23">
        <v>56</v>
      </c>
      <c r="Y121" s="23" t="s">
        <v>30</v>
      </c>
      <c r="Z121" s="23" t="s">
        <v>31</v>
      </c>
      <c r="AA121" s="23">
        <v>7.3386728999999998E-2</v>
      </c>
      <c r="AB121" s="23" t="b">
        <v>1</v>
      </c>
      <c r="AC121" s="23">
        <v>0.25778893000000003</v>
      </c>
      <c r="AD121" s="23">
        <v>0</v>
      </c>
      <c r="AE121" s="23">
        <v>1.2851258000000001E-2</v>
      </c>
      <c r="AF121" s="23">
        <v>0.72483006400000005</v>
      </c>
      <c r="AG121" s="23">
        <v>0.342554886</v>
      </c>
      <c r="AH121" s="75">
        <v>56</v>
      </c>
      <c r="AI121" s="23" t="s">
        <v>31</v>
      </c>
      <c r="AJ121" s="23" t="s">
        <v>32</v>
      </c>
      <c r="AK121" s="23">
        <v>2.6464029999999999E-3</v>
      </c>
      <c r="AL121" s="23" t="b">
        <v>0</v>
      </c>
      <c r="AM121" s="23">
        <v>0.26166511199999998</v>
      </c>
      <c r="AN121" s="23">
        <v>0</v>
      </c>
      <c r="AO121" s="23">
        <v>0</v>
      </c>
      <c r="AP121" s="23">
        <v>0</v>
      </c>
      <c r="AQ121" s="52">
        <v>0</v>
      </c>
      <c r="AR121" s="23">
        <v>56</v>
      </c>
      <c r="AS121" s="23" t="s">
        <v>32</v>
      </c>
      <c r="AT121" s="23" t="s">
        <v>33</v>
      </c>
      <c r="AU121" s="23">
        <v>4.1701269999999999E-2</v>
      </c>
      <c r="AV121" s="23" t="b">
        <v>0</v>
      </c>
      <c r="AW121" s="23">
        <v>0.23141973800000001</v>
      </c>
      <c r="AX121" s="23">
        <v>0</v>
      </c>
      <c r="AY121" s="23">
        <v>0</v>
      </c>
      <c r="AZ121" s="23">
        <v>0</v>
      </c>
      <c r="BA121" s="52">
        <v>0</v>
      </c>
      <c r="BB121" s="75">
        <v>56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/>
      <c r="BI121" s="23"/>
      <c r="BJ121" s="23"/>
      <c r="BK121" s="52"/>
      <c r="BL121" s="23">
        <v>56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/>
      <c r="CC121" s="23"/>
      <c r="CD121" s="23"/>
      <c r="CE121" s="23"/>
    </row>
    <row r="122" spans="1:83" x14ac:dyDescent="0.25">
      <c r="A122" s="23">
        <v>58</v>
      </c>
      <c r="B122" s="23">
        <v>32</v>
      </c>
      <c r="C122" s="23">
        <v>58</v>
      </c>
      <c r="D122" s="75" t="s">
        <v>28</v>
      </c>
      <c r="E122" s="23" t="s">
        <v>29</v>
      </c>
      <c r="F122" s="23">
        <v>0.14369405900000001</v>
      </c>
      <c r="G122" s="23"/>
      <c r="H122" s="23" t="b">
        <v>0</v>
      </c>
      <c r="I122" s="23">
        <v>0.37508732700000003</v>
      </c>
      <c r="J122" s="23">
        <v>0</v>
      </c>
      <c r="K122" s="23">
        <v>0</v>
      </c>
      <c r="L122" s="23">
        <v>0</v>
      </c>
      <c r="M122" s="52">
        <v>0</v>
      </c>
      <c r="N122" s="75">
        <v>58</v>
      </c>
      <c r="O122" s="23" t="s">
        <v>29</v>
      </c>
      <c r="P122" s="23" t="s">
        <v>30</v>
      </c>
      <c r="Q122" s="23">
        <v>0.281499057</v>
      </c>
      <c r="R122" s="23" t="b">
        <v>0</v>
      </c>
      <c r="S122" s="23">
        <v>0.52234569500000005</v>
      </c>
      <c r="T122" s="23">
        <v>4.0652419000000002E-2</v>
      </c>
      <c r="U122" s="23">
        <v>0</v>
      </c>
      <c r="V122" s="23">
        <v>0</v>
      </c>
      <c r="W122" s="52">
        <v>0</v>
      </c>
      <c r="X122" s="23">
        <v>58</v>
      </c>
      <c r="Y122" s="23" t="s">
        <v>30</v>
      </c>
      <c r="Z122" s="23" t="s">
        <v>31</v>
      </c>
      <c r="AA122" s="23">
        <v>0.164249692</v>
      </c>
      <c r="AB122" s="23" t="b">
        <v>0</v>
      </c>
      <c r="AC122" s="23">
        <v>0.43927629699999998</v>
      </c>
      <c r="AD122" s="23">
        <v>0</v>
      </c>
      <c r="AE122" s="23">
        <v>0</v>
      </c>
      <c r="AF122" s="23">
        <v>0</v>
      </c>
      <c r="AG122" s="23">
        <v>0</v>
      </c>
      <c r="AH122" s="75">
        <v>58</v>
      </c>
      <c r="AI122" s="23" t="s">
        <v>31</v>
      </c>
      <c r="AJ122" s="23" t="s">
        <v>32</v>
      </c>
      <c r="AK122" s="23">
        <v>0.42093430399999998</v>
      </c>
      <c r="AL122" s="23" t="b">
        <v>0</v>
      </c>
      <c r="AM122" s="23">
        <v>0.76484666199999995</v>
      </c>
      <c r="AN122" s="23">
        <v>7.7021945999999994E-2</v>
      </c>
      <c r="AO122" s="23">
        <v>0</v>
      </c>
      <c r="AP122" s="23">
        <v>0</v>
      </c>
      <c r="AQ122" s="52">
        <v>0</v>
      </c>
      <c r="AR122" s="23">
        <v>58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/>
      <c r="AY122" s="23"/>
      <c r="AZ122" s="23"/>
      <c r="BA122" s="52"/>
      <c r="BB122" s="75">
        <v>58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3"/>
      <c r="BP122" s="23" t="b">
        <v>1</v>
      </c>
      <c r="BQ122" s="23"/>
      <c r="BR122" s="23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3"/>
      <c r="CB122" s="23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3"/>
      <c r="T123" s="23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/>
      <c r="BI123" s="23"/>
      <c r="BJ123" s="23"/>
      <c r="BK123" s="52"/>
      <c r="BL123" s="23">
        <v>61</v>
      </c>
      <c r="BM123" s="23" t="s">
        <v>34</v>
      </c>
      <c r="BN123" s="23" t="s">
        <v>35</v>
      </c>
      <c r="BO123" s="23">
        <v>0.116833433</v>
      </c>
      <c r="BP123" s="23" t="b">
        <v>1</v>
      </c>
      <c r="BQ123" s="23">
        <v>0.82125917999999998</v>
      </c>
      <c r="BR123" s="23">
        <v>0</v>
      </c>
      <c r="BS123" s="23">
        <v>0.28265089399999999</v>
      </c>
      <c r="BT123" s="23">
        <v>0.98540987300000005</v>
      </c>
      <c r="BU123" s="52">
        <v>0.55600874600000005</v>
      </c>
      <c r="BV123" s="23">
        <v>61</v>
      </c>
      <c r="BW123" s="23" t="s">
        <v>35</v>
      </c>
      <c r="BX123" s="23" t="s">
        <v>36</v>
      </c>
      <c r="BY123" s="23">
        <v>1.1674844E-2</v>
      </c>
      <c r="BZ123" s="23" t="b">
        <v>0</v>
      </c>
      <c r="CA123" s="23">
        <v>0.72153375399999997</v>
      </c>
      <c r="CB123" s="23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 t="b">
        <v>1</v>
      </c>
      <c r="I124" s="23"/>
      <c r="J124" s="23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3"/>
      <c r="T124" s="23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3"/>
      <c r="AL124" s="23" t="b">
        <v>1</v>
      </c>
      <c r="AM124" s="23"/>
      <c r="AN124" s="23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3"/>
      <c r="AV124" s="23" t="b">
        <v>1</v>
      </c>
      <c r="AW124" s="23"/>
      <c r="AX124" s="23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3"/>
      <c r="BF124" s="23" t="b">
        <v>1</v>
      </c>
      <c r="BG124" s="23"/>
      <c r="BH124" s="23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3"/>
      <c r="BP124" s="23" t="b">
        <v>1</v>
      </c>
      <c r="BQ124" s="23"/>
      <c r="BR124" s="23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/>
      <c r="CC124" s="23"/>
      <c r="CD124" s="23"/>
      <c r="CE124" s="23"/>
    </row>
    <row r="125" spans="1:83" x14ac:dyDescent="0.25">
      <c r="A125" s="23">
        <v>63</v>
      </c>
      <c r="B125" s="23">
        <v>32</v>
      </c>
      <c r="C125" s="23">
        <v>63</v>
      </c>
      <c r="D125" s="75" t="s">
        <v>28</v>
      </c>
      <c r="E125" s="23" t="s">
        <v>29</v>
      </c>
      <c r="F125" s="23">
        <v>0.185064074</v>
      </c>
      <c r="G125" s="23"/>
      <c r="H125" s="23" t="b">
        <v>1</v>
      </c>
      <c r="I125" s="23">
        <v>0.389488634</v>
      </c>
      <c r="J125" s="23">
        <v>0</v>
      </c>
      <c r="K125" s="23">
        <v>6.0591900000000001E-4</v>
      </c>
      <c r="L125" s="23">
        <v>0.44058893300000002</v>
      </c>
      <c r="M125" s="52">
        <v>5.7277379999999996E-3</v>
      </c>
      <c r="N125" s="75">
        <v>63</v>
      </c>
      <c r="O125" s="23" t="s">
        <v>29</v>
      </c>
      <c r="P125" s="23" t="s">
        <v>30</v>
      </c>
      <c r="Q125" s="23">
        <v>0.16722315800000001</v>
      </c>
      <c r="R125" s="23" t="b">
        <v>0</v>
      </c>
      <c r="S125" s="23">
        <v>0.36618551900000001</v>
      </c>
      <c r="T125" s="23">
        <v>0</v>
      </c>
      <c r="U125" s="23">
        <v>0</v>
      </c>
      <c r="V125" s="23">
        <v>0</v>
      </c>
      <c r="W125" s="52">
        <v>0</v>
      </c>
      <c r="X125" s="23">
        <v>63</v>
      </c>
      <c r="Y125" s="23" t="s">
        <v>30</v>
      </c>
      <c r="Z125" s="23" t="s">
        <v>31</v>
      </c>
      <c r="AA125" s="23">
        <v>0.233099893</v>
      </c>
      <c r="AB125" s="23" t="b">
        <v>0</v>
      </c>
      <c r="AC125" s="23">
        <v>0.285106639</v>
      </c>
      <c r="AD125" s="23">
        <v>0.18109314800000001</v>
      </c>
      <c r="AE125" s="23">
        <v>0</v>
      </c>
      <c r="AF125" s="23">
        <v>0</v>
      </c>
      <c r="AG125" s="23">
        <v>0</v>
      </c>
      <c r="AH125" s="75">
        <v>63</v>
      </c>
      <c r="AI125" s="23" t="s">
        <v>31</v>
      </c>
      <c r="AJ125" s="23" t="s">
        <v>32</v>
      </c>
      <c r="AK125" s="23">
        <v>0.124900497</v>
      </c>
      <c r="AL125" s="23" t="b">
        <v>0</v>
      </c>
      <c r="AM125" s="23">
        <v>0.161898763</v>
      </c>
      <c r="AN125" s="23">
        <v>8.7902230999999997E-2</v>
      </c>
      <c r="AO125" s="23">
        <v>0</v>
      </c>
      <c r="AP125" s="23">
        <v>0</v>
      </c>
      <c r="AQ125" s="52">
        <v>0</v>
      </c>
      <c r="AR125" s="23">
        <v>63</v>
      </c>
      <c r="AS125" s="23" t="s">
        <v>32</v>
      </c>
      <c r="AT125" s="23" t="s">
        <v>33</v>
      </c>
      <c r="AU125" s="23">
        <v>0.23676325300000001</v>
      </c>
      <c r="AV125" s="23" t="b">
        <v>0</v>
      </c>
      <c r="AW125" s="23">
        <v>0.33234111399999999</v>
      </c>
      <c r="AX125" s="23">
        <v>0.14118539199999999</v>
      </c>
      <c r="AY125" s="23">
        <v>0</v>
      </c>
      <c r="AZ125" s="23">
        <v>0</v>
      </c>
      <c r="BA125" s="52">
        <v>0</v>
      </c>
      <c r="BB125" s="75">
        <v>63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3"/>
      <c r="CB125" s="23"/>
      <c r="CC125" s="23"/>
      <c r="CD125" s="23"/>
      <c r="CE125" s="23"/>
    </row>
    <row r="126" spans="1:83" x14ac:dyDescent="0.25">
      <c r="A126" s="23">
        <v>64</v>
      </c>
      <c r="B126" s="23">
        <v>32</v>
      </c>
      <c r="C126" s="23">
        <v>64</v>
      </c>
      <c r="D126" s="75" t="s">
        <v>28</v>
      </c>
      <c r="E126" s="23" t="s">
        <v>29</v>
      </c>
      <c r="F126" s="23">
        <v>6.2768110000000002E-2</v>
      </c>
      <c r="G126" s="23"/>
      <c r="H126" s="23" t="b">
        <v>1</v>
      </c>
      <c r="I126" s="23">
        <v>0.15913707399999999</v>
      </c>
      <c r="J126" s="23">
        <v>0</v>
      </c>
      <c r="K126" s="23">
        <v>1.365443E-3</v>
      </c>
      <c r="L126" s="23">
        <v>0.65223206899999997</v>
      </c>
      <c r="M126" s="52">
        <v>8.7311757000000004E-2</v>
      </c>
      <c r="N126" s="75">
        <v>64</v>
      </c>
      <c r="O126" s="23" t="s">
        <v>29</v>
      </c>
      <c r="P126" s="23" t="s">
        <v>30</v>
      </c>
      <c r="Q126" s="23">
        <v>9.9588914000000001E-2</v>
      </c>
      <c r="R126" s="23" t="b">
        <v>1</v>
      </c>
      <c r="S126" s="23">
        <v>0.23680285000000001</v>
      </c>
      <c r="T126" s="23">
        <v>0</v>
      </c>
      <c r="U126" s="23">
        <v>2.4398279999999998E-3</v>
      </c>
      <c r="V126" s="23">
        <v>0.17477843000000001</v>
      </c>
      <c r="W126" s="52">
        <v>0.15601208699999999</v>
      </c>
      <c r="X126" s="23">
        <v>64</v>
      </c>
      <c r="Y126" s="23" t="s">
        <v>30</v>
      </c>
      <c r="Z126" s="23" t="s">
        <v>31</v>
      </c>
      <c r="AA126" s="23">
        <v>3.3084395000000003E-2</v>
      </c>
      <c r="AB126" s="23" t="b">
        <v>1</v>
      </c>
      <c r="AC126" s="23">
        <v>0.16390558099999999</v>
      </c>
      <c r="AD126" s="23">
        <v>0</v>
      </c>
      <c r="AE126" s="23">
        <v>9.1520630000000002E-3</v>
      </c>
      <c r="AF126" s="23">
        <v>0.70764408899999998</v>
      </c>
      <c r="AG126" s="23">
        <v>0.65561305299999995</v>
      </c>
      <c r="AH126" s="75">
        <v>64</v>
      </c>
      <c r="AI126" s="23" t="s">
        <v>31</v>
      </c>
      <c r="AJ126" s="23" t="s">
        <v>32</v>
      </c>
      <c r="AK126" s="23">
        <v>1.8517657999999999E-2</v>
      </c>
      <c r="AL126" s="23" t="b">
        <v>0</v>
      </c>
      <c r="AM126" s="23">
        <v>0.12043852200000001</v>
      </c>
      <c r="AN126" s="23">
        <v>0</v>
      </c>
      <c r="AO126" s="23">
        <v>0</v>
      </c>
      <c r="AP126" s="23">
        <v>0</v>
      </c>
      <c r="AQ126" s="52">
        <v>0</v>
      </c>
      <c r="AR126" s="23">
        <v>64</v>
      </c>
      <c r="AS126" s="23" t="s">
        <v>32</v>
      </c>
      <c r="AT126" s="23" t="s">
        <v>33</v>
      </c>
      <c r="AU126" s="23">
        <v>1.4722827000000001E-2</v>
      </c>
      <c r="AV126" s="23" t="b">
        <v>1</v>
      </c>
      <c r="AW126" s="23">
        <v>9.4192751000000005E-2</v>
      </c>
      <c r="AX126" s="23">
        <v>0</v>
      </c>
      <c r="AY126" s="23">
        <v>3.7660079999999999E-3</v>
      </c>
      <c r="AZ126" s="23">
        <v>0.84079642099999996</v>
      </c>
      <c r="BA126" s="52">
        <v>0.689019139</v>
      </c>
      <c r="BB126" s="75">
        <v>64</v>
      </c>
      <c r="BC126" s="23" t="s">
        <v>33</v>
      </c>
      <c r="BD126" s="23" t="s">
        <v>34</v>
      </c>
      <c r="BE126" s="23"/>
      <c r="BF126" s="23" t="b">
        <v>1</v>
      </c>
      <c r="BG126" s="23"/>
      <c r="BH126" s="23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3"/>
      <c r="BP126" s="23" t="b">
        <v>1</v>
      </c>
      <c r="BQ126" s="23"/>
      <c r="BR126" s="23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 t="b">
        <v>1</v>
      </c>
      <c r="I127" s="23"/>
      <c r="J127" s="23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3"/>
      <c r="T127" s="23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/>
      <c r="BI127" s="23"/>
      <c r="BJ127" s="23"/>
      <c r="BK127" s="52"/>
      <c r="BL127" s="23">
        <v>65</v>
      </c>
      <c r="BM127" s="23" t="s">
        <v>34</v>
      </c>
      <c r="BN127" s="23" t="s">
        <v>35</v>
      </c>
      <c r="BO127" s="23">
        <v>2.7030798000000002E-2</v>
      </c>
      <c r="BP127" s="23" t="b">
        <v>0</v>
      </c>
      <c r="BQ127" s="23">
        <v>0.15705534199999999</v>
      </c>
      <c r="BR127" s="23">
        <v>0</v>
      </c>
      <c r="BS127" s="23">
        <v>0</v>
      </c>
      <c r="BT127" s="23">
        <v>0</v>
      </c>
      <c r="BU127" s="52">
        <v>0</v>
      </c>
      <c r="BV127" s="23">
        <v>65</v>
      </c>
      <c r="BW127" s="23" t="s">
        <v>35</v>
      </c>
      <c r="BX127" s="23" t="s">
        <v>36</v>
      </c>
      <c r="BY127" s="23">
        <v>2.7779144109999998</v>
      </c>
      <c r="BZ127" s="23" t="b">
        <v>0</v>
      </c>
      <c r="CA127" s="23">
        <v>5.0907061090000001</v>
      </c>
      <c r="CB127" s="23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3"/>
      <c r="T128" s="23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/>
      <c r="AY128" s="23"/>
      <c r="AZ128" s="23"/>
      <c r="BA128" s="52"/>
      <c r="BB128" s="75">
        <v>67</v>
      </c>
      <c r="BC128" s="23" t="s">
        <v>33</v>
      </c>
      <c r="BD128" s="23" t="s">
        <v>34</v>
      </c>
      <c r="BE128" s="23">
        <v>2.1228311089999998</v>
      </c>
      <c r="BF128" s="23" t="b">
        <v>0</v>
      </c>
      <c r="BG128" s="23">
        <v>2.2185001629999999</v>
      </c>
      <c r="BH128" s="23">
        <v>2.0271620549999998</v>
      </c>
      <c r="BI128" s="23">
        <v>0</v>
      </c>
      <c r="BJ128" s="23">
        <v>0</v>
      </c>
      <c r="BK128" s="52">
        <v>0</v>
      </c>
      <c r="BL128" s="23">
        <v>67</v>
      </c>
      <c r="BM128" s="23" t="s">
        <v>34</v>
      </c>
      <c r="BN128" s="23" t="s">
        <v>35</v>
      </c>
      <c r="BO128" s="23">
        <v>1.6645864999999999E-2</v>
      </c>
      <c r="BP128" s="23" t="b">
        <v>1</v>
      </c>
      <c r="BQ128" s="23">
        <v>0.16733916800000001</v>
      </c>
      <c r="BR128" s="23">
        <v>0</v>
      </c>
      <c r="BS128" s="23">
        <v>1.4472696E-2</v>
      </c>
      <c r="BT128" s="23">
        <v>0.99193151099999999</v>
      </c>
      <c r="BU128" s="52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3">
        <v>0.191959036</v>
      </c>
      <c r="CB128" s="23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3"/>
      <c r="T129" s="23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/>
      <c r="AY129" s="23"/>
      <c r="AZ129" s="23"/>
      <c r="BA129" s="52"/>
      <c r="BB129" s="75">
        <v>69</v>
      </c>
      <c r="BC129" s="23" t="s">
        <v>33</v>
      </c>
      <c r="BD129" s="23" t="s">
        <v>34</v>
      </c>
      <c r="BE129" s="23">
        <v>1.640350395</v>
      </c>
      <c r="BF129" s="23" t="b">
        <v>0</v>
      </c>
      <c r="BG129" s="23">
        <v>1.7985009080000001</v>
      </c>
      <c r="BH129" s="23">
        <v>1.482199882</v>
      </c>
      <c r="BI129" s="23">
        <v>0</v>
      </c>
      <c r="BJ129" s="23">
        <v>0</v>
      </c>
      <c r="BK129" s="52">
        <v>0</v>
      </c>
      <c r="BL129" s="23">
        <v>69</v>
      </c>
      <c r="BM129" s="23" t="s">
        <v>34</v>
      </c>
      <c r="BN129" s="23" t="s">
        <v>35</v>
      </c>
      <c r="BO129" s="23">
        <v>0.100118415</v>
      </c>
      <c r="BP129" s="23" t="b">
        <v>1</v>
      </c>
      <c r="BQ129" s="23">
        <v>0.214354818</v>
      </c>
      <c r="BR129" s="23">
        <v>0</v>
      </c>
      <c r="BS129" s="23">
        <v>3.8141800000000001E-4</v>
      </c>
      <c r="BT129" s="23">
        <v>0.27819829299999999</v>
      </c>
      <c r="BU129" s="52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3">
        <v>0.33142168599999999</v>
      </c>
      <c r="CB129" s="23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23">
        <v>70</v>
      </c>
      <c r="B130" s="23">
        <v>32</v>
      </c>
      <c r="C130" s="23">
        <v>70</v>
      </c>
      <c r="D130" s="75" t="s">
        <v>28</v>
      </c>
      <c r="E130" s="23" t="s">
        <v>29</v>
      </c>
      <c r="F130" s="23">
        <v>0.21128503100000001</v>
      </c>
      <c r="G130" s="23"/>
      <c r="H130" s="23" t="b">
        <v>0</v>
      </c>
      <c r="I130" s="23">
        <v>0.36801383500000001</v>
      </c>
      <c r="J130" s="23">
        <v>5.4556226999999999E-2</v>
      </c>
      <c r="K130" s="23">
        <v>0</v>
      </c>
      <c r="L130" s="23">
        <v>0</v>
      </c>
      <c r="M130" s="52">
        <v>0</v>
      </c>
      <c r="N130" s="75">
        <v>70</v>
      </c>
      <c r="O130" s="23" t="s">
        <v>29</v>
      </c>
      <c r="P130" s="23" t="s">
        <v>30</v>
      </c>
      <c r="Q130" s="23">
        <v>0.36442045200000001</v>
      </c>
      <c r="R130" s="23" t="b">
        <v>0</v>
      </c>
      <c r="S130" s="23">
        <v>0.53552127699999996</v>
      </c>
      <c r="T130" s="23">
        <v>0.19331962699999999</v>
      </c>
      <c r="U130" s="23">
        <v>0</v>
      </c>
      <c r="V130" s="23">
        <v>0</v>
      </c>
      <c r="W130" s="52">
        <v>0</v>
      </c>
      <c r="X130" s="23">
        <v>70</v>
      </c>
      <c r="Y130" s="23" t="s">
        <v>30</v>
      </c>
      <c r="Z130" s="23" t="s">
        <v>31</v>
      </c>
      <c r="AA130" s="23">
        <v>0.106384802</v>
      </c>
      <c r="AB130" s="23" t="b">
        <v>0</v>
      </c>
      <c r="AC130" s="23">
        <v>0.164578744</v>
      </c>
      <c r="AD130" s="23">
        <v>4.8190860000000002E-2</v>
      </c>
      <c r="AE130" s="23">
        <v>0</v>
      </c>
      <c r="AF130" s="23">
        <v>0</v>
      </c>
      <c r="AG130" s="23">
        <v>0</v>
      </c>
      <c r="AH130" s="75">
        <v>70</v>
      </c>
      <c r="AI130" s="23" t="s">
        <v>31</v>
      </c>
      <c r="AJ130" s="23" t="s">
        <v>32</v>
      </c>
      <c r="AK130" s="23">
        <v>2.3625896E-2</v>
      </c>
      <c r="AL130" s="23" t="b">
        <v>0</v>
      </c>
      <c r="AM130" s="23">
        <v>0.11806016</v>
      </c>
      <c r="AN130" s="23">
        <v>0</v>
      </c>
      <c r="AO130" s="23">
        <v>0</v>
      </c>
      <c r="AP130" s="23">
        <v>0</v>
      </c>
      <c r="AQ130" s="52">
        <v>0</v>
      </c>
      <c r="AR130" s="23">
        <v>70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/>
      <c r="AY130" s="23"/>
      <c r="AZ130" s="23"/>
      <c r="BA130" s="52"/>
      <c r="BB130" s="75">
        <v>70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3"/>
      <c r="BP130" s="23" t="b">
        <v>1</v>
      </c>
      <c r="BQ130" s="23"/>
      <c r="BR130" s="23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 t="b">
        <v>1</v>
      </c>
      <c r="I131" s="23"/>
      <c r="J131" s="23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3"/>
      <c r="T131" s="23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 t="b">
        <v>1</v>
      </c>
      <c r="AC131" s="23"/>
      <c r="AD131" s="23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3"/>
      <c r="AL131" s="23" t="b">
        <v>1</v>
      </c>
      <c r="AM131" s="23"/>
      <c r="AN131" s="23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 t="b">
        <v>1</v>
      </c>
      <c r="I132" s="23"/>
      <c r="J132" s="23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3"/>
      <c r="T132" s="23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 t="b">
        <v>1</v>
      </c>
      <c r="AC132" s="23"/>
      <c r="AD132" s="23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3"/>
      <c r="AL132" s="23" t="b">
        <v>1</v>
      </c>
      <c r="AM132" s="23"/>
      <c r="AN132" s="23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3"/>
      <c r="T133" s="23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/>
      <c r="AE133" s="23"/>
      <c r="AF133" s="23"/>
      <c r="AG133" s="23"/>
      <c r="AH133" s="75">
        <v>73</v>
      </c>
      <c r="AI133" s="23" t="s">
        <v>31</v>
      </c>
      <c r="AJ133" s="23" t="s">
        <v>32</v>
      </c>
      <c r="AK133" s="23">
        <v>0.28679503299999998</v>
      </c>
      <c r="AL133" s="23" t="b">
        <v>0</v>
      </c>
      <c r="AM133" s="23">
        <v>0.40116906099999999</v>
      </c>
      <c r="AN133" s="23">
        <v>0.17242100499999999</v>
      </c>
      <c r="AO133" s="23">
        <v>0</v>
      </c>
      <c r="AP133" s="23">
        <v>0</v>
      </c>
      <c r="AQ133" s="52">
        <v>0</v>
      </c>
      <c r="AR133" s="23">
        <v>73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/>
      <c r="AY133" s="23"/>
      <c r="AZ133" s="23"/>
      <c r="BA133" s="52"/>
      <c r="BB133" s="75">
        <v>73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3"/>
      <c r="T134" s="23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/>
      <c r="AY134" s="23"/>
      <c r="AZ134" s="23"/>
      <c r="BA134" s="52"/>
      <c r="BB134" s="75">
        <v>74</v>
      </c>
      <c r="BC134" s="23" t="s">
        <v>33</v>
      </c>
      <c r="BD134" s="23" t="s">
        <v>34</v>
      </c>
      <c r="BE134" s="23">
        <v>1.3238816099999999</v>
      </c>
      <c r="BF134" s="23" t="b">
        <v>0</v>
      </c>
      <c r="BG134" s="23">
        <v>1.5009402030000001</v>
      </c>
      <c r="BH134" s="23">
        <v>1.1468230180000001</v>
      </c>
      <c r="BI134" s="23">
        <v>0</v>
      </c>
      <c r="BJ134" s="23">
        <v>0</v>
      </c>
      <c r="BK134" s="52">
        <v>0</v>
      </c>
      <c r="BL134" s="23">
        <v>74</v>
      </c>
      <c r="BM134" s="23" t="s">
        <v>34</v>
      </c>
      <c r="BN134" s="23" t="s">
        <v>35</v>
      </c>
      <c r="BO134" s="23"/>
      <c r="BP134" s="23" t="b">
        <v>1</v>
      </c>
      <c r="BQ134" s="23"/>
      <c r="BR134" s="23"/>
      <c r="BS134" s="23"/>
      <c r="BT134" s="23"/>
      <c r="BU134" s="52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3"/>
      <c r="CB134" s="23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 t="b">
        <v>1</v>
      </c>
      <c r="I135" s="23"/>
      <c r="J135" s="23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3"/>
      <c r="T135" s="23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 t="b">
        <v>1</v>
      </c>
      <c r="AC135" s="23"/>
      <c r="AD135" s="23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3"/>
      <c r="AL135" s="23" t="b">
        <v>1</v>
      </c>
      <c r="AM135" s="23"/>
      <c r="AN135" s="23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3"/>
      <c r="AV135" s="23" t="b">
        <v>1</v>
      </c>
      <c r="AW135" s="23"/>
      <c r="AX135" s="23"/>
      <c r="AY135" s="23"/>
      <c r="AZ135" s="23"/>
      <c r="BA135" s="52"/>
      <c r="BB135" s="75">
        <v>75</v>
      </c>
      <c r="BC135" s="23" t="s">
        <v>33</v>
      </c>
      <c r="BD135" s="23" t="s">
        <v>34</v>
      </c>
      <c r="BE135" s="23">
        <v>0.66816805400000001</v>
      </c>
      <c r="BF135" s="23" t="b">
        <v>0</v>
      </c>
      <c r="BG135" s="23">
        <v>1.150872565</v>
      </c>
      <c r="BH135" s="23">
        <v>0.18546354300000001</v>
      </c>
      <c r="BI135" s="23">
        <v>0</v>
      </c>
      <c r="BJ135" s="23">
        <v>0</v>
      </c>
      <c r="BK135" s="52">
        <v>0</v>
      </c>
      <c r="BL135" s="23">
        <v>75</v>
      </c>
      <c r="BM135" s="23" t="s">
        <v>34</v>
      </c>
      <c r="BN135" s="23" t="s">
        <v>35</v>
      </c>
      <c r="BO135" s="23">
        <v>7.2312272999999996E-2</v>
      </c>
      <c r="BP135" s="23" t="b">
        <v>1</v>
      </c>
      <c r="BQ135" s="23">
        <v>0.94884426499999996</v>
      </c>
      <c r="BR135" s="23">
        <v>0</v>
      </c>
      <c r="BS135" s="23">
        <v>0.52646468300000004</v>
      </c>
      <c r="BT135" s="23">
        <v>0.98000571999999997</v>
      </c>
      <c r="BU135" s="52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3">
        <v>1.0049850929999999</v>
      </c>
      <c r="CB135" s="23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3"/>
      <c r="T136" s="23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3"/>
      <c r="BF136" s="23" t="b">
        <v>1</v>
      </c>
      <c r="BG136" s="23"/>
      <c r="BH136" s="23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3"/>
      <c r="BP136" s="23" t="b">
        <v>1</v>
      </c>
      <c r="BQ136" s="23"/>
      <c r="BR136" s="23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3">
        <v>0.24865963199999999</v>
      </c>
      <c r="CB136" s="23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 t="b">
        <v>1</v>
      </c>
      <c r="I137" s="23"/>
      <c r="J137" s="23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3"/>
      <c r="T137" s="23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 t="b">
        <v>1</v>
      </c>
      <c r="AC137" s="23"/>
      <c r="AD137" s="23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3"/>
      <c r="AL137" s="23" t="b">
        <v>1</v>
      </c>
      <c r="AM137" s="23"/>
      <c r="AN137" s="23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/>
      <c r="AY137" s="23"/>
      <c r="AZ137" s="23"/>
      <c r="BA137" s="52"/>
      <c r="BB137" s="75">
        <v>77</v>
      </c>
      <c r="BC137" s="23" t="s">
        <v>33</v>
      </c>
      <c r="BD137" s="23" t="s">
        <v>34</v>
      </c>
      <c r="BE137" s="23">
        <v>0.19752045600000001</v>
      </c>
      <c r="BF137" s="23" t="b">
        <v>0</v>
      </c>
      <c r="BG137" s="23">
        <v>0.28853954100000001</v>
      </c>
      <c r="BH137" s="23">
        <v>0.106501371</v>
      </c>
      <c r="BI137" s="23">
        <v>0</v>
      </c>
      <c r="BJ137" s="23">
        <v>0</v>
      </c>
      <c r="BK137" s="52">
        <v>0</v>
      </c>
      <c r="BL137" s="23">
        <v>77</v>
      </c>
      <c r="BM137" s="23" t="s">
        <v>34</v>
      </c>
      <c r="BN137" s="23" t="s">
        <v>35</v>
      </c>
      <c r="BO137" s="23">
        <v>0.59202810800000005</v>
      </c>
      <c r="BP137" s="23" t="b">
        <v>0</v>
      </c>
      <c r="BQ137" s="23">
        <v>1.3377730569999999</v>
      </c>
      <c r="BR137" s="23">
        <v>0</v>
      </c>
      <c r="BS137" s="23">
        <v>0</v>
      </c>
      <c r="BT137" s="23">
        <v>0</v>
      </c>
      <c r="BU137" s="52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3">
        <v>1.315070731</v>
      </c>
      <c r="CB137" s="23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3"/>
      <c r="T138" s="23"/>
      <c r="U138" s="23"/>
      <c r="V138" s="23"/>
      <c r="W138" s="52"/>
      <c r="X138" s="23">
        <v>78</v>
      </c>
      <c r="Y138" s="23" t="s">
        <v>30</v>
      </c>
      <c r="Z138" s="23" t="s">
        <v>31</v>
      </c>
      <c r="AA138" s="23">
        <v>8.6645867000000001E-2</v>
      </c>
      <c r="AB138" s="23" t="b">
        <v>0</v>
      </c>
      <c r="AC138" s="23">
        <v>0.372648708</v>
      </c>
      <c r="AD138" s="23">
        <v>0</v>
      </c>
      <c r="AE138" s="23">
        <v>0</v>
      </c>
      <c r="AF138" s="23">
        <v>0</v>
      </c>
      <c r="AG138" s="23">
        <v>0</v>
      </c>
      <c r="AH138" s="75">
        <v>78</v>
      </c>
      <c r="AI138" s="23" t="s">
        <v>31</v>
      </c>
      <c r="AJ138" s="23" t="s">
        <v>32</v>
      </c>
      <c r="AK138" s="23">
        <v>4.6331536E-2</v>
      </c>
      <c r="AL138" s="23" t="b">
        <v>0</v>
      </c>
      <c r="AM138" s="23">
        <v>0.27125660200000001</v>
      </c>
      <c r="AN138" s="23">
        <v>0</v>
      </c>
      <c r="AO138" s="23">
        <v>0</v>
      </c>
      <c r="AP138" s="23">
        <v>0</v>
      </c>
      <c r="AQ138" s="52">
        <v>0</v>
      </c>
      <c r="AR138" s="23">
        <v>78</v>
      </c>
      <c r="AS138" s="23" t="s">
        <v>32</v>
      </c>
      <c r="AT138" s="23" t="s">
        <v>33</v>
      </c>
      <c r="AU138" s="23">
        <v>0.13960315700000001</v>
      </c>
      <c r="AV138" s="23" t="b">
        <v>0</v>
      </c>
      <c r="AW138" s="23">
        <v>0.32803004899999999</v>
      </c>
      <c r="AX138" s="23">
        <v>0</v>
      </c>
      <c r="AY138" s="23">
        <v>0</v>
      </c>
      <c r="AZ138" s="23">
        <v>0</v>
      </c>
      <c r="BA138" s="52">
        <v>0</v>
      </c>
      <c r="BB138" s="75">
        <v>78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/>
      <c r="BI138" s="23"/>
      <c r="BJ138" s="23"/>
      <c r="BK138" s="52"/>
      <c r="BL138" s="23">
        <v>78</v>
      </c>
      <c r="BM138" s="23" t="s">
        <v>34</v>
      </c>
      <c r="BN138" s="23" t="s">
        <v>35</v>
      </c>
      <c r="BO138" s="23"/>
      <c r="BP138" s="23" t="b">
        <v>1</v>
      </c>
      <c r="BQ138" s="23"/>
      <c r="BR138" s="23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3"/>
      <c r="CB138" s="23"/>
      <c r="CC138" s="23"/>
      <c r="CD138" s="23"/>
      <c r="CE138" s="23"/>
    </row>
    <row r="139" spans="1:83" x14ac:dyDescent="0.25">
      <c r="A139" s="23">
        <v>79</v>
      </c>
      <c r="B139" s="23">
        <v>32</v>
      </c>
      <c r="C139" s="23">
        <v>79</v>
      </c>
      <c r="D139" s="75" t="s">
        <v>28</v>
      </c>
      <c r="E139" s="23" t="s">
        <v>29</v>
      </c>
      <c r="F139" s="23">
        <v>0.16651328000000001</v>
      </c>
      <c r="G139" s="23"/>
      <c r="H139" s="23" t="b">
        <v>0</v>
      </c>
      <c r="I139" s="23">
        <v>0.73167862299999997</v>
      </c>
      <c r="J139" s="23">
        <v>0</v>
      </c>
      <c r="K139" s="23">
        <v>0</v>
      </c>
      <c r="L139" s="23">
        <v>0</v>
      </c>
      <c r="M139" s="52">
        <v>0</v>
      </c>
      <c r="N139" s="75">
        <v>79</v>
      </c>
      <c r="O139" s="23" t="s">
        <v>29</v>
      </c>
      <c r="P139" s="23" t="s">
        <v>30</v>
      </c>
      <c r="Q139" s="23">
        <v>0.182169369</v>
      </c>
      <c r="R139" s="23" t="b">
        <v>0</v>
      </c>
      <c r="S139" s="23">
        <v>0.64927874799999996</v>
      </c>
      <c r="T139" s="23">
        <v>0</v>
      </c>
      <c r="U139" s="23">
        <v>0</v>
      </c>
      <c r="V139" s="23">
        <v>0</v>
      </c>
      <c r="W139" s="52">
        <v>0</v>
      </c>
      <c r="X139" s="23">
        <v>79</v>
      </c>
      <c r="Y139" s="23" t="s">
        <v>30</v>
      </c>
      <c r="Z139" s="23" t="s">
        <v>31</v>
      </c>
      <c r="AA139" s="23">
        <v>0.67193450799999999</v>
      </c>
      <c r="AB139" s="23" t="b">
        <v>0</v>
      </c>
      <c r="AC139" s="23">
        <v>0.81046512500000001</v>
      </c>
      <c r="AD139" s="23">
        <v>0.53340389099999996</v>
      </c>
      <c r="AE139" s="23">
        <v>0</v>
      </c>
      <c r="AF139" s="23">
        <v>0</v>
      </c>
      <c r="AG139" s="23">
        <v>0</v>
      </c>
      <c r="AH139" s="75">
        <v>79</v>
      </c>
      <c r="AI139" s="23" t="s">
        <v>31</v>
      </c>
      <c r="AJ139" s="23" t="s">
        <v>32</v>
      </c>
      <c r="AK139" s="23">
        <v>0.12116675</v>
      </c>
      <c r="AL139" s="23" t="b">
        <v>0</v>
      </c>
      <c r="AM139" s="23">
        <v>0.23996900500000001</v>
      </c>
      <c r="AN139" s="23">
        <v>2.364494E-3</v>
      </c>
      <c r="AO139" s="23">
        <v>0</v>
      </c>
      <c r="AP139" s="23">
        <v>0</v>
      </c>
      <c r="AQ139" s="52">
        <v>0</v>
      </c>
      <c r="AR139" s="23">
        <v>79</v>
      </c>
      <c r="AS139" s="23" t="s">
        <v>32</v>
      </c>
      <c r="AT139" s="23" t="s">
        <v>33</v>
      </c>
      <c r="AU139" s="23">
        <v>0.74156240699999998</v>
      </c>
      <c r="AV139" s="23" t="b">
        <v>0</v>
      </c>
      <c r="AW139" s="23">
        <v>0.86616336000000005</v>
      </c>
      <c r="AX139" s="23">
        <v>0.61696145400000002</v>
      </c>
      <c r="AY139" s="23">
        <v>0</v>
      </c>
      <c r="AZ139" s="23">
        <v>0</v>
      </c>
      <c r="BA139" s="52">
        <v>0</v>
      </c>
      <c r="BB139" s="75">
        <v>79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/>
      <c r="BI139" s="23"/>
      <c r="BJ139" s="23"/>
      <c r="BK139" s="52"/>
      <c r="BL139" s="23">
        <v>79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 t="b">
        <v>1</v>
      </c>
      <c r="I140" s="23"/>
      <c r="J140" s="23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3"/>
      <c r="T140" s="23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 t="b">
        <v>1</v>
      </c>
      <c r="AC140" s="23"/>
      <c r="AD140" s="23"/>
      <c r="AE140" s="23"/>
      <c r="AF140" s="23"/>
      <c r="AG140" s="23"/>
      <c r="AH140" s="75">
        <v>80</v>
      </c>
      <c r="AI140" s="23" t="s">
        <v>31</v>
      </c>
      <c r="AJ140" s="23" t="s">
        <v>32</v>
      </c>
      <c r="AK140" s="23">
        <v>3.6278428000000001E-2</v>
      </c>
      <c r="AL140" s="23" t="b">
        <v>0</v>
      </c>
      <c r="AM140" s="23">
        <v>0.117736643</v>
      </c>
      <c r="AN140" s="23">
        <v>0</v>
      </c>
      <c r="AO140" s="23">
        <v>0</v>
      </c>
      <c r="AP140" s="23">
        <v>0</v>
      </c>
      <c r="AQ140" s="52">
        <v>0</v>
      </c>
      <c r="AR140" s="23">
        <v>80</v>
      </c>
      <c r="AS140" s="23" t="s">
        <v>32</v>
      </c>
      <c r="AT140" s="23" t="s">
        <v>33</v>
      </c>
      <c r="AU140" s="23">
        <v>0.11921497</v>
      </c>
      <c r="AV140" s="23" t="b">
        <v>1</v>
      </c>
      <c r="AW140" s="23">
        <v>0.269935798</v>
      </c>
      <c r="AX140" s="23">
        <v>0</v>
      </c>
      <c r="AY140" s="23">
        <v>1.9814730000000001E-3</v>
      </c>
      <c r="AZ140" s="23">
        <v>0.111163451</v>
      </c>
      <c r="BA140" s="52">
        <v>0.110953631</v>
      </c>
      <c r="BB140" s="75">
        <v>80</v>
      </c>
      <c r="BC140" s="23" t="s">
        <v>33</v>
      </c>
      <c r="BD140" s="23" t="s">
        <v>34</v>
      </c>
      <c r="BE140" s="23">
        <v>2.6792888320000001</v>
      </c>
      <c r="BF140" s="23" t="b">
        <v>0</v>
      </c>
      <c r="BG140" s="23">
        <v>2.8295107339999999</v>
      </c>
      <c r="BH140" s="23">
        <v>2.5290669299999999</v>
      </c>
      <c r="BI140" s="23">
        <v>0</v>
      </c>
      <c r="BJ140" s="23">
        <v>0</v>
      </c>
      <c r="BK140" s="52">
        <v>0</v>
      </c>
      <c r="BL140" s="23">
        <v>80</v>
      </c>
      <c r="BM140" s="23" t="s">
        <v>34</v>
      </c>
      <c r="BN140" s="23" t="s">
        <v>35</v>
      </c>
      <c r="BO140" s="23">
        <v>1.3718772000000001E-2</v>
      </c>
      <c r="BP140" s="23" t="b">
        <v>0</v>
      </c>
      <c r="BQ140" s="23">
        <v>0.13527356700000001</v>
      </c>
      <c r="BR140" s="23">
        <v>0</v>
      </c>
      <c r="BS140" s="23">
        <v>0</v>
      </c>
      <c r="BT140" s="23">
        <v>0</v>
      </c>
      <c r="BU140" s="52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3">
        <v>0.19456210700000001</v>
      </c>
      <c r="CB140" s="23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23">
        <v>81</v>
      </c>
      <c r="B141" s="23">
        <v>32</v>
      </c>
      <c r="C141" s="23">
        <v>81</v>
      </c>
      <c r="D141" s="75" t="s">
        <v>28</v>
      </c>
      <c r="E141" s="23" t="s">
        <v>29</v>
      </c>
      <c r="F141" s="23">
        <v>0.19658640499999999</v>
      </c>
      <c r="G141" s="23"/>
      <c r="H141" s="23" t="b">
        <v>0</v>
      </c>
      <c r="I141" s="23">
        <v>0.34591440899999998</v>
      </c>
      <c r="J141" s="23">
        <v>4.7258400999999998E-2</v>
      </c>
      <c r="K141" s="23">
        <v>0</v>
      </c>
      <c r="L141" s="23">
        <v>0</v>
      </c>
      <c r="M141" s="52">
        <v>0</v>
      </c>
      <c r="N141" s="75">
        <v>81</v>
      </c>
      <c r="O141" s="23" t="s">
        <v>29</v>
      </c>
      <c r="P141" s="23" t="s">
        <v>30</v>
      </c>
      <c r="Q141" s="23">
        <v>0.20824837099999999</v>
      </c>
      <c r="R141" s="23" t="b">
        <v>0</v>
      </c>
      <c r="S141" s="23">
        <v>0.28903772</v>
      </c>
      <c r="T141" s="23">
        <v>0.12745902200000001</v>
      </c>
      <c r="U141" s="23">
        <v>0</v>
      </c>
      <c r="V141" s="23">
        <v>0</v>
      </c>
      <c r="W141" s="52">
        <v>0</v>
      </c>
      <c r="X141" s="23">
        <v>81</v>
      </c>
      <c r="Y141" s="23" t="s">
        <v>30</v>
      </c>
      <c r="Z141" s="23" t="s">
        <v>31</v>
      </c>
      <c r="AA141" s="23">
        <v>4.6417075000000002E-2</v>
      </c>
      <c r="AB141" s="23" t="b">
        <v>0</v>
      </c>
      <c r="AC141" s="23">
        <v>0.13436188800000001</v>
      </c>
      <c r="AD141" s="23">
        <v>0</v>
      </c>
      <c r="AE141" s="23">
        <v>0</v>
      </c>
      <c r="AF141" s="23">
        <v>0</v>
      </c>
      <c r="AG141" s="23">
        <v>0</v>
      </c>
      <c r="AH141" s="75">
        <v>81</v>
      </c>
      <c r="AI141" s="23" t="s">
        <v>31</v>
      </c>
      <c r="AJ141" s="23" t="s">
        <v>32</v>
      </c>
      <c r="AK141" s="23">
        <v>3.8425402999999997E-2</v>
      </c>
      <c r="AL141" s="23" t="b">
        <v>0</v>
      </c>
      <c r="AM141" s="23">
        <v>0.13946383400000001</v>
      </c>
      <c r="AN141" s="23">
        <v>0</v>
      </c>
      <c r="AO141" s="23">
        <v>0</v>
      </c>
      <c r="AP141" s="23">
        <v>0</v>
      </c>
      <c r="AQ141" s="52">
        <v>0</v>
      </c>
      <c r="AR141" s="23">
        <v>81</v>
      </c>
      <c r="AS141" s="23" t="s">
        <v>32</v>
      </c>
      <c r="AT141" s="23" t="s">
        <v>33</v>
      </c>
      <c r="AU141" s="23"/>
      <c r="AV141" s="23" t="b">
        <v>1</v>
      </c>
      <c r="AW141" s="23"/>
      <c r="AX141" s="23"/>
      <c r="AY141" s="23"/>
      <c r="AZ141" s="23"/>
      <c r="BA141" s="52"/>
      <c r="BB141" s="75">
        <v>81</v>
      </c>
      <c r="BC141" s="23" t="s">
        <v>33</v>
      </c>
      <c r="BD141" s="23" t="s">
        <v>34</v>
      </c>
      <c r="BE141" s="23"/>
      <c r="BF141" s="23" t="b">
        <v>1</v>
      </c>
      <c r="BG141" s="23"/>
      <c r="BH141" s="23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3"/>
      <c r="BP141" s="23" t="b">
        <v>1</v>
      </c>
      <c r="BQ141" s="23"/>
      <c r="BR141" s="23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3">
        <v>2.0867677169999999</v>
      </c>
      <c r="CB141" s="23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 t="b">
        <v>1</v>
      </c>
      <c r="I142" s="23"/>
      <c r="J142" s="23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3"/>
      <c r="T142" s="23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 t="b">
        <v>1</v>
      </c>
      <c r="AC142" s="23"/>
      <c r="AD142" s="23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3"/>
      <c r="AL142" s="23" t="b">
        <v>1</v>
      </c>
      <c r="AM142" s="23"/>
      <c r="AN142" s="23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3"/>
      <c r="AV142" s="23" t="b">
        <v>1</v>
      </c>
      <c r="AW142" s="23"/>
      <c r="AX142" s="23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3"/>
      <c r="BF142" s="23" t="b">
        <v>1</v>
      </c>
      <c r="BG142" s="23"/>
      <c r="BH142" s="23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3"/>
      <c r="BP142" s="23" t="b">
        <v>1</v>
      </c>
      <c r="BQ142" s="23"/>
      <c r="BR142" s="23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3"/>
      <c r="CB142" s="23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 t="b">
        <v>1</v>
      </c>
      <c r="I143" s="23"/>
      <c r="J143" s="23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3"/>
      <c r="T143" s="23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 t="b">
        <v>1</v>
      </c>
      <c r="AC143" s="23"/>
      <c r="AD143" s="23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3"/>
      <c r="AL143" s="23" t="b">
        <v>1</v>
      </c>
      <c r="AM143" s="23"/>
      <c r="AN143" s="23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3"/>
      <c r="AV143" s="23" t="b">
        <v>1</v>
      </c>
      <c r="AW143" s="23"/>
      <c r="AX143" s="23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3"/>
      <c r="BF143" s="23" t="b">
        <v>1</v>
      </c>
      <c r="BG143" s="23"/>
      <c r="BH143" s="23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3"/>
      <c r="BP143" s="23" t="b">
        <v>1</v>
      </c>
      <c r="BQ143" s="23"/>
      <c r="BR143" s="23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3"/>
      <c r="CB143" s="23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 t="b">
        <v>1</v>
      </c>
      <c r="I144" s="23"/>
      <c r="J144" s="23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3"/>
      <c r="T144" s="23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 t="b">
        <v>1</v>
      </c>
      <c r="AC144" s="23"/>
      <c r="AD144" s="23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3"/>
      <c r="AL144" s="23" t="b">
        <v>1</v>
      </c>
      <c r="AM144" s="23"/>
      <c r="AN144" s="23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3"/>
      <c r="AV144" s="23" t="b">
        <v>1</v>
      </c>
      <c r="AW144" s="23"/>
      <c r="AX144" s="23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3"/>
      <c r="BF144" s="23" t="b">
        <v>1</v>
      </c>
      <c r="BG144" s="23"/>
      <c r="BH144" s="23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3"/>
      <c r="BP144" s="23" t="b">
        <v>1</v>
      </c>
      <c r="BQ144" s="23"/>
      <c r="BR144" s="23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3"/>
      <c r="CB144" s="23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 t="b">
        <v>1</v>
      </c>
      <c r="I145" s="23"/>
      <c r="J145" s="23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3"/>
      <c r="T145" s="23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 t="b">
        <v>1</v>
      </c>
      <c r="AC145" s="23"/>
      <c r="AD145" s="23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3"/>
      <c r="AL145" s="23" t="b">
        <v>1</v>
      </c>
      <c r="AM145" s="23"/>
      <c r="AN145" s="23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3"/>
      <c r="AV145" s="23" t="b">
        <v>1</v>
      </c>
      <c r="AW145" s="23"/>
      <c r="AX145" s="23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3"/>
      <c r="BF145" s="23" t="b">
        <v>1</v>
      </c>
      <c r="BG145" s="23"/>
      <c r="BH145" s="23"/>
      <c r="BI145" s="23"/>
      <c r="BJ145" s="23"/>
      <c r="BK145" s="52"/>
      <c r="BL145" s="23">
        <v>85</v>
      </c>
      <c r="BM145" s="23" t="s">
        <v>34</v>
      </c>
      <c r="BN145" s="23" t="s">
        <v>35</v>
      </c>
      <c r="BO145" s="23">
        <v>5.7328279090000001</v>
      </c>
      <c r="BP145" s="23" t="b">
        <v>0</v>
      </c>
      <c r="BQ145" s="23">
        <v>6.5073992699999996</v>
      </c>
      <c r="BR145" s="23">
        <v>4.9582565479999996</v>
      </c>
      <c r="BS145" s="23">
        <v>0</v>
      </c>
      <c r="BT145" s="23">
        <v>0</v>
      </c>
      <c r="BU145" s="52">
        <v>0</v>
      </c>
      <c r="BV145" s="23">
        <v>85</v>
      </c>
      <c r="BW145" s="23" t="s">
        <v>35</v>
      </c>
      <c r="BX145" s="23" t="s">
        <v>36</v>
      </c>
      <c r="BY145" s="23">
        <v>0.154000889</v>
      </c>
      <c r="BZ145" s="23" t="b">
        <v>1</v>
      </c>
      <c r="CA145" s="23">
        <v>0.32315861600000001</v>
      </c>
      <c r="CB145" s="23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 t="b">
        <v>1</v>
      </c>
      <c r="I146" s="23"/>
      <c r="J146" s="23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3"/>
      <c r="T146" s="23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 t="b">
        <v>1</v>
      </c>
      <c r="AC146" s="23"/>
      <c r="AD146" s="23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3"/>
      <c r="AL146" s="23" t="b">
        <v>1</v>
      </c>
      <c r="AM146" s="23"/>
      <c r="AN146" s="23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3"/>
      <c r="AV146" s="23" t="b">
        <v>1</v>
      </c>
      <c r="AW146" s="23"/>
      <c r="AX146" s="23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3"/>
      <c r="BF146" s="23" t="b">
        <v>1</v>
      </c>
      <c r="BG146" s="23"/>
      <c r="BH146" s="23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3"/>
      <c r="BP146" s="23" t="b">
        <v>1</v>
      </c>
      <c r="BQ146" s="23"/>
      <c r="BR146" s="23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3"/>
      <c r="CB146" s="23"/>
      <c r="CC146" s="23"/>
      <c r="CD146" s="23"/>
      <c r="CE146" s="23"/>
    </row>
    <row r="147" spans="1:83" x14ac:dyDescent="0.25">
      <c r="A147" s="23">
        <v>87</v>
      </c>
      <c r="B147" s="23">
        <v>32</v>
      </c>
      <c r="C147" s="23">
        <v>87</v>
      </c>
      <c r="D147" s="75" t="s">
        <v>28</v>
      </c>
      <c r="E147" s="23" t="s">
        <v>29</v>
      </c>
      <c r="F147" s="23">
        <v>4.7818935E-2</v>
      </c>
      <c r="G147" s="23"/>
      <c r="H147" s="23" t="b">
        <v>1</v>
      </c>
      <c r="I147" s="23">
        <v>0.322231665</v>
      </c>
      <c r="J147" s="23">
        <v>0</v>
      </c>
      <c r="K147" s="23">
        <v>4.1098972999999997E-2</v>
      </c>
      <c r="L147" s="23">
        <v>0.99626607700000003</v>
      </c>
      <c r="M147" s="52">
        <v>0.51216846999999999</v>
      </c>
      <c r="N147" s="75">
        <v>87</v>
      </c>
      <c r="O147" s="23" t="s">
        <v>29</v>
      </c>
      <c r="P147" s="23" t="s">
        <v>30</v>
      </c>
      <c r="Q147" s="23"/>
      <c r="R147" s="23" t="b">
        <v>1</v>
      </c>
      <c r="S147" s="23"/>
      <c r="T147" s="23"/>
      <c r="U147" s="23"/>
      <c r="V147" s="23"/>
      <c r="W147" s="52"/>
      <c r="X147" s="23">
        <v>87</v>
      </c>
      <c r="Y147" s="23" t="s">
        <v>30</v>
      </c>
      <c r="Z147" s="23" t="s">
        <v>31</v>
      </c>
      <c r="AA147" s="23"/>
      <c r="AB147" s="23" t="b">
        <v>1</v>
      </c>
      <c r="AC147" s="23"/>
      <c r="AD147" s="23"/>
      <c r="AE147" s="23"/>
      <c r="AF147" s="23"/>
      <c r="AG147" s="23"/>
      <c r="AH147" s="75">
        <v>87</v>
      </c>
      <c r="AI147" s="23" t="s">
        <v>31</v>
      </c>
      <c r="AJ147" s="23" t="s">
        <v>32</v>
      </c>
      <c r="AK147" s="23">
        <v>5.2492821000000002E-2</v>
      </c>
      <c r="AL147" s="23" t="b">
        <v>1</v>
      </c>
      <c r="AM147" s="23">
        <v>0.22151581200000001</v>
      </c>
      <c r="AN147" s="23">
        <v>0</v>
      </c>
      <c r="AO147" s="23">
        <v>1.1567162000000001E-2</v>
      </c>
      <c r="AP147" s="23">
        <v>0.96881561999999999</v>
      </c>
      <c r="AQ147" s="52">
        <v>0.31935184700000002</v>
      </c>
      <c r="AR147" s="23">
        <v>87</v>
      </c>
      <c r="AS147" s="23" t="s">
        <v>32</v>
      </c>
      <c r="AT147" s="23" t="s">
        <v>33</v>
      </c>
      <c r="AU147" s="23">
        <v>1.168006195</v>
      </c>
      <c r="AV147" s="23" t="b">
        <v>0</v>
      </c>
      <c r="AW147" s="23">
        <v>1.3791087740000001</v>
      </c>
      <c r="AX147" s="23">
        <v>0.95690361700000004</v>
      </c>
      <c r="AY147" s="23">
        <v>0</v>
      </c>
      <c r="AZ147" s="23">
        <v>0</v>
      </c>
      <c r="BA147" s="52">
        <v>0</v>
      </c>
      <c r="BB147" s="75">
        <v>87</v>
      </c>
      <c r="BC147" s="23" t="s">
        <v>33</v>
      </c>
      <c r="BD147" s="23" t="s">
        <v>34</v>
      </c>
      <c r="BE147" s="23">
        <v>1.3945186460000001</v>
      </c>
      <c r="BF147" s="23" t="b">
        <v>0</v>
      </c>
      <c r="BG147" s="23">
        <v>1.5785897659999999</v>
      </c>
      <c r="BH147" s="23">
        <v>1.210447525</v>
      </c>
      <c r="BI147" s="23">
        <v>0</v>
      </c>
      <c r="BJ147" s="23">
        <v>0</v>
      </c>
      <c r="BK147" s="52">
        <v>0</v>
      </c>
      <c r="BL147" s="23">
        <v>87</v>
      </c>
      <c r="BM147" s="23" t="s">
        <v>34</v>
      </c>
      <c r="BN147" s="23" t="s">
        <v>35</v>
      </c>
      <c r="BO147" s="23">
        <v>0.17108398699999999</v>
      </c>
      <c r="BP147" s="23" t="b">
        <v>0</v>
      </c>
      <c r="BQ147" s="23">
        <v>0.69956904799999997</v>
      </c>
      <c r="BR147" s="23">
        <v>0</v>
      </c>
      <c r="BS147" s="23">
        <v>0</v>
      </c>
      <c r="BT147" s="23">
        <v>0</v>
      </c>
      <c r="BU147" s="52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3"/>
      <c r="CB147" s="23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 t="b">
        <v>1</v>
      </c>
      <c r="I148" s="23"/>
      <c r="J148" s="23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3"/>
      <c r="T148" s="23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 t="b">
        <v>1</v>
      </c>
      <c r="AC148" s="23"/>
      <c r="AD148" s="23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3"/>
      <c r="AL148" s="23" t="b">
        <v>1</v>
      </c>
      <c r="AM148" s="23"/>
      <c r="AN148" s="23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3"/>
      <c r="AV148" s="23" t="b">
        <v>1</v>
      </c>
      <c r="AW148" s="23"/>
      <c r="AX148" s="23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3"/>
      <c r="BF148" s="23" t="b">
        <v>1</v>
      </c>
      <c r="BG148" s="23"/>
      <c r="BH148" s="23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3"/>
      <c r="BP148" s="23" t="b">
        <v>1</v>
      </c>
      <c r="BQ148" s="23"/>
      <c r="BR148" s="23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3">
        <v>2.2559268729999999</v>
      </c>
      <c r="CB148" s="23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 t="b">
        <v>1</v>
      </c>
      <c r="I149" s="23"/>
      <c r="J149" s="23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3"/>
      <c r="T149" s="23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 t="b">
        <v>1</v>
      </c>
      <c r="AC149" s="23"/>
      <c r="AD149" s="23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3"/>
      <c r="AL149" s="23" t="b">
        <v>1</v>
      </c>
      <c r="AM149" s="23"/>
      <c r="AN149" s="23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3"/>
      <c r="AV149" s="23" t="b">
        <v>1</v>
      </c>
      <c r="AW149" s="23"/>
      <c r="AX149" s="23"/>
      <c r="AY149" s="23"/>
      <c r="AZ149" s="23"/>
      <c r="BA149" s="52"/>
      <c r="BB149" s="75">
        <v>122</v>
      </c>
      <c r="BC149" s="23" t="s">
        <v>33</v>
      </c>
      <c r="BD149" s="23" t="s">
        <v>34</v>
      </c>
      <c r="BE149" s="23">
        <v>0.68429542600000004</v>
      </c>
      <c r="BF149" s="23" t="b">
        <v>0</v>
      </c>
      <c r="BG149" s="23">
        <v>0.81542278000000001</v>
      </c>
      <c r="BH149" s="23">
        <v>0.55316807199999996</v>
      </c>
      <c r="BI149" s="23">
        <v>0</v>
      </c>
      <c r="BJ149" s="23">
        <v>0</v>
      </c>
      <c r="BK149" s="52">
        <v>0</v>
      </c>
      <c r="BL149" s="23">
        <v>122</v>
      </c>
      <c r="BM149" s="23" t="s">
        <v>34</v>
      </c>
      <c r="BN149" s="23" t="s">
        <v>35</v>
      </c>
      <c r="BO149" s="23">
        <v>0.35691644099999997</v>
      </c>
      <c r="BP149" s="23" t="b">
        <v>0</v>
      </c>
      <c r="BQ149" s="23">
        <v>0.54720069599999999</v>
      </c>
      <c r="BR149" s="23">
        <v>0.16663218599999999</v>
      </c>
      <c r="BS149" s="23">
        <v>0</v>
      </c>
      <c r="BT149" s="23">
        <v>0</v>
      </c>
      <c r="BU149" s="52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3"/>
      <c r="CB149" s="23"/>
      <c r="CC149" s="23"/>
      <c r="CD149" s="23"/>
      <c r="CE149" s="23"/>
    </row>
    <row r="150" spans="1:83" x14ac:dyDescent="0.25">
      <c r="A150" s="23">
        <v>123</v>
      </c>
      <c r="B150" s="23">
        <v>32</v>
      </c>
      <c r="C150" s="23">
        <v>123</v>
      </c>
      <c r="D150" s="75" t="s">
        <v>28</v>
      </c>
      <c r="E150" s="23" t="s">
        <v>29</v>
      </c>
      <c r="F150" s="23">
        <v>5.6217115999999998E-2</v>
      </c>
      <c r="G150" s="23"/>
      <c r="H150" s="23" t="b">
        <v>0</v>
      </c>
      <c r="I150" s="23">
        <v>0.216092119</v>
      </c>
      <c r="J150" s="23">
        <v>0</v>
      </c>
      <c r="K150" s="23">
        <v>0</v>
      </c>
      <c r="L150" s="23">
        <v>0</v>
      </c>
      <c r="M150" s="52">
        <v>0</v>
      </c>
      <c r="N150" s="75">
        <v>123</v>
      </c>
      <c r="O150" s="23" t="s">
        <v>29</v>
      </c>
      <c r="P150" s="23" t="s">
        <v>30</v>
      </c>
      <c r="Q150" s="23">
        <v>8.9624119000000002E-2</v>
      </c>
      <c r="R150" s="23" t="b">
        <v>0</v>
      </c>
      <c r="S150" s="23">
        <v>0.27606288499999998</v>
      </c>
      <c r="T150" s="23">
        <v>0</v>
      </c>
      <c r="U150" s="23">
        <v>0</v>
      </c>
      <c r="V150" s="23">
        <v>0</v>
      </c>
      <c r="W150" s="52">
        <v>0</v>
      </c>
      <c r="X150" s="23">
        <v>123</v>
      </c>
      <c r="Y150" s="23" t="s">
        <v>30</v>
      </c>
      <c r="Z150" s="23" t="s">
        <v>31</v>
      </c>
      <c r="AA150" s="23"/>
      <c r="AB150" s="23" t="b">
        <v>1</v>
      </c>
      <c r="AC150" s="23"/>
      <c r="AD150" s="23"/>
      <c r="AE150" s="23"/>
      <c r="AF150" s="23"/>
      <c r="AG150" s="23"/>
      <c r="AH150" s="75">
        <v>123</v>
      </c>
      <c r="AI150" s="23" t="s">
        <v>31</v>
      </c>
      <c r="AJ150" s="23" t="s">
        <v>32</v>
      </c>
      <c r="AK150" s="23"/>
      <c r="AL150" s="23" t="b">
        <v>1</v>
      </c>
      <c r="AM150" s="23"/>
      <c r="AN150" s="23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3"/>
      <c r="AV150" s="23" t="b">
        <v>1</v>
      </c>
      <c r="AW150" s="23"/>
      <c r="AX150" s="23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3"/>
      <c r="BF150" s="23" t="b">
        <v>1</v>
      </c>
      <c r="BG150" s="23"/>
      <c r="BH150" s="23"/>
      <c r="BI150" s="23"/>
      <c r="BJ150" s="23"/>
      <c r="BK150" s="52"/>
      <c r="BL150" s="23">
        <v>123</v>
      </c>
      <c r="BM150" s="23" t="s">
        <v>34</v>
      </c>
      <c r="BN150" s="23" t="s">
        <v>35</v>
      </c>
      <c r="BO150" s="23">
        <v>0.140329909</v>
      </c>
      <c r="BP150" s="23" t="b">
        <v>1</v>
      </c>
      <c r="BQ150" s="23">
        <v>0.28619119900000001</v>
      </c>
      <c r="BR150" s="23">
        <v>0</v>
      </c>
      <c r="BS150" s="24">
        <v>6.0099999999999997E-5</v>
      </c>
      <c r="BT150" s="23">
        <v>0.307091524</v>
      </c>
      <c r="BU150" s="52">
        <v>1.0055789999999999E-3</v>
      </c>
      <c r="BV150" s="23">
        <v>123</v>
      </c>
      <c r="BW150" s="23" t="s">
        <v>35</v>
      </c>
      <c r="BX150" s="23" t="s">
        <v>36</v>
      </c>
      <c r="BY150" s="23">
        <v>4.8471551000000002E-2</v>
      </c>
      <c r="BZ150" s="23" t="b">
        <v>0</v>
      </c>
      <c r="CA150" s="23">
        <v>8.3643981000000006E-2</v>
      </c>
      <c r="CB150" s="23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 t="b">
        <v>1</v>
      </c>
      <c r="I151" s="23"/>
      <c r="J151" s="23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3"/>
      <c r="T151" s="23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 t="b">
        <v>1</v>
      </c>
      <c r="AC151" s="23"/>
      <c r="AD151" s="23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3"/>
      <c r="AL151" s="23" t="b">
        <v>1</v>
      </c>
      <c r="AM151" s="23"/>
      <c r="AN151" s="23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3"/>
      <c r="AV151" s="23" t="b">
        <v>1</v>
      </c>
      <c r="AW151" s="23"/>
      <c r="AX151" s="23"/>
      <c r="AY151" s="23"/>
      <c r="AZ151" s="23"/>
      <c r="BA151" s="52"/>
      <c r="BB151" s="75">
        <v>124</v>
      </c>
      <c r="BC151" s="23" t="s">
        <v>33</v>
      </c>
      <c r="BD151" s="23" t="s">
        <v>34</v>
      </c>
      <c r="BE151" s="23">
        <v>5.8304385E-2</v>
      </c>
      <c r="BF151" s="23" t="b">
        <v>1</v>
      </c>
      <c r="BG151" s="23">
        <v>0.14184513500000001</v>
      </c>
      <c r="BH151" s="23">
        <v>0</v>
      </c>
      <c r="BI151" s="23">
        <v>9.1800900000000001E-4</v>
      </c>
      <c r="BJ151" s="23">
        <v>0.43827670000000002</v>
      </c>
      <c r="BK151" s="52">
        <v>8.7710091000000004E-2</v>
      </c>
      <c r="BL151" s="23">
        <v>124</v>
      </c>
      <c r="BM151" s="23" t="s">
        <v>34</v>
      </c>
      <c r="BN151" s="23" t="s">
        <v>35</v>
      </c>
      <c r="BO151" s="23"/>
      <c r="BP151" s="23" t="b">
        <v>1</v>
      </c>
      <c r="BQ151" s="23"/>
      <c r="BR151" s="23"/>
      <c r="BS151" s="23"/>
      <c r="BT151" s="23"/>
      <c r="BU151" s="52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3"/>
      <c r="CB151" s="23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 t="b">
        <v>1</v>
      </c>
      <c r="I152" s="23"/>
      <c r="J152" s="23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3"/>
      <c r="T152" s="23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 t="b">
        <v>1</v>
      </c>
      <c r="AC152" s="23"/>
      <c r="AD152" s="23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3"/>
      <c r="AL152" s="23" t="b">
        <v>1</v>
      </c>
      <c r="AM152" s="23"/>
      <c r="AN152" s="23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3"/>
      <c r="AV152" s="23" t="b">
        <v>1</v>
      </c>
      <c r="AW152" s="23"/>
      <c r="AX152" s="23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3"/>
      <c r="BF152" s="23" t="b">
        <v>1</v>
      </c>
      <c r="BG152" s="23"/>
      <c r="BH152" s="23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3"/>
      <c r="BP152" s="23" t="b">
        <v>1</v>
      </c>
      <c r="BQ152" s="23"/>
      <c r="BR152" s="23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3"/>
      <c r="CB152" s="23"/>
      <c r="CC152" s="23"/>
      <c r="CD152" s="23"/>
      <c r="CE152" s="23"/>
    </row>
    <row r="153" spans="1:83" x14ac:dyDescent="0.25">
      <c r="A153" s="23">
        <v>127</v>
      </c>
      <c r="B153" s="23">
        <v>32</v>
      </c>
      <c r="C153" s="23">
        <v>127</v>
      </c>
      <c r="D153" s="75" t="s">
        <v>28</v>
      </c>
      <c r="E153" s="23" t="s">
        <v>29</v>
      </c>
      <c r="F153" s="23">
        <v>0.20994492300000001</v>
      </c>
      <c r="G153" s="23"/>
      <c r="H153" s="23" t="b">
        <v>1</v>
      </c>
      <c r="I153" s="23">
        <v>0.45087712400000002</v>
      </c>
      <c r="J153" s="23">
        <v>0</v>
      </c>
      <c r="K153" s="23">
        <v>2.3269240000000002E-3</v>
      </c>
      <c r="L153" s="23">
        <v>0.10843059400000001</v>
      </c>
      <c r="M153" s="52">
        <v>2.9564159E-2</v>
      </c>
      <c r="N153" s="75">
        <v>127</v>
      </c>
      <c r="O153" s="23" t="s">
        <v>29</v>
      </c>
      <c r="P153" s="23" t="s">
        <v>30</v>
      </c>
      <c r="Q153" s="23">
        <v>0.121968296</v>
      </c>
      <c r="R153" s="23" t="b">
        <v>1</v>
      </c>
      <c r="S153" s="23">
        <v>0.32426345499999998</v>
      </c>
      <c r="T153" s="23">
        <v>0</v>
      </c>
      <c r="U153" s="23">
        <v>5.7861850000000001E-3</v>
      </c>
      <c r="V153" s="23">
        <v>0.95080405999999995</v>
      </c>
      <c r="W153" s="52">
        <v>7.3514938000000002E-2</v>
      </c>
      <c r="X153" s="23">
        <v>127</v>
      </c>
      <c r="Y153" s="23" t="s">
        <v>30</v>
      </c>
      <c r="Z153" s="23" t="s">
        <v>31</v>
      </c>
      <c r="AA153" s="23">
        <v>5.2018136999999999E-2</v>
      </c>
      <c r="AB153" s="23" t="b">
        <v>1</v>
      </c>
      <c r="AC153" s="23">
        <v>0.10849708600000001</v>
      </c>
      <c r="AD153" s="23">
        <v>0</v>
      </c>
      <c r="AE153" s="24">
        <v>5.3399999999999997E-5</v>
      </c>
      <c r="AF153" s="23">
        <v>0.109395507</v>
      </c>
      <c r="AG153" s="23">
        <v>8.7767939999999992E-3</v>
      </c>
      <c r="AH153" s="75">
        <v>127</v>
      </c>
      <c r="AI153" s="23" t="s">
        <v>31</v>
      </c>
      <c r="AJ153" s="23" t="s">
        <v>32</v>
      </c>
      <c r="AK153" s="23">
        <v>7.7149493999999999E-2</v>
      </c>
      <c r="AL153" s="23" t="b">
        <v>0</v>
      </c>
      <c r="AM153" s="23">
        <v>0.109310853</v>
      </c>
      <c r="AN153" s="23">
        <v>4.4988134999999999E-2</v>
      </c>
      <c r="AO153" s="23">
        <v>0</v>
      </c>
      <c r="AP153" s="23">
        <v>0</v>
      </c>
      <c r="AQ153" s="52">
        <v>0</v>
      </c>
      <c r="AR153" s="23">
        <v>127</v>
      </c>
      <c r="AS153" s="23" t="s">
        <v>32</v>
      </c>
      <c r="AT153" s="23" t="s">
        <v>33</v>
      </c>
      <c r="AU153" s="23"/>
      <c r="AV153" s="23" t="b">
        <v>1</v>
      </c>
      <c r="AW153" s="23"/>
      <c r="AX153" s="23"/>
      <c r="AY153" s="23"/>
      <c r="AZ153" s="23"/>
      <c r="BA153" s="52"/>
      <c r="BB153" s="75">
        <v>127</v>
      </c>
      <c r="BC153" s="23" t="s">
        <v>33</v>
      </c>
      <c r="BD153" s="23" t="s">
        <v>34</v>
      </c>
      <c r="BE153" s="23"/>
      <c r="BF153" s="23" t="b">
        <v>1</v>
      </c>
      <c r="BG153" s="23"/>
      <c r="BH153" s="23"/>
      <c r="BI153" s="23"/>
      <c r="BJ153" s="23"/>
      <c r="BK153" s="52"/>
      <c r="BL153" s="23">
        <v>127</v>
      </c>
      <c r="BM153" s="23" t="s">
        <v>34</v>
      </c>
      <c r="BN153" s="23" t="s">
        <v>35</v>
      </c>
      <c r="BO153" s="23">
        <v>6.5788247999999994E-2</v>
      </c>
      <c r="BP153" s="23" t="b">
        <v>1</v>
      </c>
      <c r="BQ153" s="23">
        <v>0.26588281400000002</v>
      </c>
      <c r="BR153" s="23">
        <v>0</v>
      </c>
      <c r="BS153" s="23">
        <v>1.8357427999999999E-2</v>
      </c>
      <c r="BT153" s="23">
        <v>0.67621959700000001</v>
      </c>
      <c r="BU153" s="52">
        <v>0.50908124300000002</v>
      </c>
      <c r="BV153" s="23">
        <v>127</v>
      </c>
      <c r="BW153" s="23" t="s">
        <v>35</v>
      </c>
      <c r="BX153" s="23" t="s">
        <v>36</v>
      </c>
      <c r="BY153" s="23"/>
      <c r="BZ153" s="23" t="b">
        <v>1</v>
      </c>
      <c r="CA153" s="23"/>
      <c r="CB153" s="23"/>
      <c r="CC153" s="23"/>
      <c r="CD153" s="23"/>
      <c r="CE153" s="23"/>
    </row>
    <row r="154" spans="1:83" x14ac:dyDescent="0.25">
      <c r="A154" s="23">
        <v>129</v>
      </c>
      <c r="B154" s="23">
        <v>32</v>
      </c>
      <c r="C154" s="23">
        <v>129</v>
      </c>
      <c r="D154" s="75" t="s">
        <v>28</v>
      </c>
      <c r="E154" s="23" t="s">
        <v>29</v>
      </c>
      <c r="F154" s="23">
        <v>0.53157641300000003</v>
      </c>
      <c r="G154" s="23"/>
      <c r="H154" s="23" t="b">
        <v>0</v>
      </c>
      <c r="I154" s="23">
        <v>0.73838361799999996</v>
      </c>
      <c r="J154" s="23">
        <v>0.32476920799999998</v>
      </c>
      <c r="K154" s="23">
        <v>0</v>
      </c>
      <c r="L154" s="23">
        <v>0</v>
      </c>
      <c r="M154" s="52">
        <v>0</v>
      </c>
      <c r="N154" s="75">
        <v>129</v>
      </c>
      <c r="O154" s="23" t="s">
        <v>29</v>
      </c>
      <c r="P154" s="23" t="s">
        <v>30</v>
      </c>
      <c r="Q154" s="23">
        <v>6.8009788000000002E-2</v>
      </c>
      <c r="R154" s="23" t="b">
        <v>0</v>
      </c>
      <c r="S154" s="23">
        <v>0.186341961</v>
      </c>
      <c r="T154" s="23">
        <v>0</v>
      </c>
      <c r="U154" s="23">
        <v>0</v>
      </c>
      <c r="V154" s="23">
        <v>0</v>
      </c>
      <c r="W154" s="52">
        <v>0</v>
      </c>
      <c r="X154" s="23">
        <v>129</v>
      </c>
      <c r="Y154" s="23" t="s">
        <v>30</v>
      </c>
      <c r="Z154" s="23" t="s">
        <v>31</v>
      </c>
      <c r="AA154" s="23">
        <v>0.131771835</v>
      </c>
      <c r="AB154" s="23" t="b">
        <v>0</v>
      </c>
      <c r="AC154" s="23">
        <v>0.20401794500000001</v>
      </c>
      <c r="AD154" s="23">
        <v>5.9525726000000001E-2</v>
      </c>
      <c r="AE154" s="23">
        <v>0</v>
      </c>
      <c r="AF154" s="23">
        <v>0</v>
      </c>
      <c r="AG154" s="23">
        <v>0</v>
      </c>
      <c r="AH154" s="75">
        <v>129</v>
      </c>
      <c r="AI154" s="23" t="s">
        <v>31</v>
      </c>
      <c r="AJ154" s="23" t="s">
        <v>32</v>
      </c>
      <c r="AK154" s="23">
        <v>1.7386407E-2</v>
      </c>
      <c r="AL154" s="23" t="b">
        <v>0</v>
      </c>
      <c r="AM154" s="23">
        <v>0.194087919</v>
      </c>
      <c r="AN154" s="23">
        <v>0</v>
      </c>
      <c r="AO154" s="23">
        <v>0</v>
      </c>
      <c r="AP154" s="23">
        <v>0</v>
      </c>
      <c r="AQ154" s="52">
        <v>0</v>
      </c>
      <c r="AR154" s="23">
        <v>129</v>
      </c>
      <c r="AS154" s="23" t="s">
        <v>32</v>
      </c>
      <c r="AT154" s="23" t="s">
        <v>33</v>
      </c>
      <c r="AU154" s="23"/>
      <c r="AV154" s="23" t="b">
        <v>1</v>
      </c>
      <c r="AW154" s="23"/>
      <c r="AX154" s="23"/>
      <c r="AY154" s="23"/>
      <c r="AZ154" s="23"/>
      <c r="BA154" s="52"/>
      <c r="BB154" s="75">
        <v>129</v>
      </c>
      <c r="BC154" s="23" t="s">
        <v>33</v>
      </c>
      <c r="BD154" s="23" t="s">
        <v>34</v>
      </c>
      <c r="BE154" s="23"/>
      <c r="BF154" s="23" t="b">
        <v>1</v>
      </c>
      <c r="BG154" s="23"/>
      <c r="BH154" s="23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3"/>
      <c r="BP154" s="23" t="b">
        <v>1</v>
      </c>
      <c r="BQ154" s="23"/>
      <c r="BR154" s="23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3"/>
      <c r="CB154" s="23"/>
      <c r="CC154" s="23"/>
      <c r="CD154" s="23"/>
      <c r="CE154" s="23"/>
    </row>
    <row r="155" spans="1:83" x14ac:dyDescent="0.25">
      <c r="A155" s="23">
        <v>130</v>
      </c>
      <c r="B155" s="23">
        <v>32</v>
      </c>
      <c r="C155" s="23">
        <v>130</v>
      </c>
      <c r="D155" s="75" t="s">
        <v>28</v>
      </c>
      <c r="E155" s="23" t="s">
        <v>29</v>
      </c>
      <c r="F155" s="23">
        <v>0.118990319</v>
      </c>
      <c r="G155" s="23"/>
      <c r="H155" s="23" t="b">
        <v>0</v>
      </c>
      <c r="I155" s="23">
        <v>0.20476908399999999</v>
      </c>
      <c r="J155" s="23">
        <v>3.3211553999999997E-2</v>
      </c>
      <c r="K155" s="23">
        <v>0</v>
      </c>
      <c r="L155" s="23">
        <v>0</v>
      </c>
      <c r="M155" s="52">
        <v>0</v>
      </c>
      <c r="N155" s="75">
        <v>130</v>
      </c>
      <c r="O155" s="23" t="s">
        <v>29</v>
      </c>
      <c r="P155" s="23" t="s">
        <v>30</v>
      </c>
      <c r="Q155" s="23">
        <v>8.2207185000000002E-2</v>
      </c>
      <c r="R155" s="23" t="b">
        <v>0</v>
      </c>
      <c r="S155" s="23">
        <v>0.139243641</v>
      </c>
      <c r="T155" s="23">
        <v>2.5170728999999999E-2</v>
      </c>
      <c r="U155" s="23">
        <v>0</v>
      </c>
      <c r="V155" s="23">
        <v>0</v>
      </c>
      <c r="W155" s="52">
        <v>0</v>
      </c>
      <c r="X155" s="23">
        <v>130</v>
      </c>
      <c r="Y155" s="23" t="s">
        <v>30</v>
      </c>
      <c r="Z155" s="23" t="s">
        <v>31</v>
      </c>
      <c r="AA155" s="23">
        <v>1.7328864999999999E-2</v>
      </c>
      <c r="AB155" s="23" t="b">
        <v>1</v>
      </c>
      <c r="AC155" s="23">
        <v>9.0776525999999996E-2</v>
      </c>
      <c r="AD155" s="23">
        <v>0</v>
      </c>
      <c r="AE155" s="23">
        <v>2.9273599999999999E-3</v>
      </c>
      <c r="AF155" s="23">
        <v>0.81616034500000001</v>
      </c>
      <c r="AG155" s="23">
        <v>0.59244802900000004</v>
      </c>
      <c r="AH155" s="75">
        <v>130</v>
      </c>
      <c r="AI155" s="23" t="s">
        <v>31</v>
      </c>
      <c r="AJ155" s="23" t="s">
        <v>32</v>
      </c>
      <c r="AK155" s="23">
        <v>5.0649010000000001E-2</v>
      </c>
      <c r="AL155" s="23" t="b">
        <v>0</v>
      </c>
      <c r="AM155" s="23">
        <v>0.100461014</v>
      </c>
      <c r="AN155" s="23">
        <v>8.3700599999999995E-4</v>
      </c>
      <c r="AO155" s="23">
        <v>0</v>
      </c>
      <c r="AP155" s="23">
        <v>0</v>
      </c>
      <c r="AQ155" s="52">
        <v>0</v>
      </c>
      <c r="AR155" s="23">
        <v>130</v>
      </c>
      <c r="AS155" s="23" t="s">
        <v>32</v>
      </c>
      <c r="AT155" s="23" t="s">
        <v>33</v>
      </c>
      <c r="AU155" s="23"/>
      <c r="AV155" s="23" t="b">
        <v>1</v>
      </c>
      <c r="AW155" s="23"/>
      <c r="AX155" s="23"/>
      <c r="AY155" s="23"/>
      <c r="AZ155" s="23"/>
      <c r="BA155" s="52"/>
      <c r="BB155" s="75">
        <v>130</v>
      </c>
      <c r="BC155" s="23" t="s">
        <v>33</v>
      </c>
      <c r="BD155" s="23" t="s">
        <v>34</v>
      </c>
      <c r="BE155" s="23"/>
      <c r="BF155" s="23" t="b">
        <v>1</v>
      </c>
      <c r="BG155" s="23"/>
      <c r="BH155" s="23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3"/>
      <c r="BP155" s="23" t="b">
        <v>1</v>
      </c>
      <c r="BQ155" s="23"/>
      <c r="BR155" s="23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3"/>
      <c r="CB155" s="23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 t="b">
        <v>1</v>
      </c>
      <c r="I156" s="23"/>
      <c r="J156" s="23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3"/>
      <c r="T156" s="23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 t="b">
        <v>1</v>
      </c>
      <c r="AC156" s="23"/>
      <c r="AD156" s="23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3"/>
      <c r="AL156" s="23" t="b">
        <v>1</v>
      </c>
      <c r="AM156" s="23"/>
      <c r="AN156" s="23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3"/>
      <c r="AV156" s="23" t="b">
        <v>1</v>
      </c>
      <c r="AW156" s="23"/>
      <c r="AX156" s="23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3"/>
      <c r="BF156" s="23" t="b">
        <v>1</v>
      </c>
      <c r="BG156" s="23"/>
      <c r="BH156" s="23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3"/>
      <c r="BP156" s="23" t="b">
        <v>1</v>
      </c>
      <c r="BQ156" s="23"/>
      <c r="BR156" s="23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3"/>
      <c r="CB156" s="23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 t="b">
        <v>1</v>
      </c>
      <c r="I157" s="23"/>
      <c r="J157" s="23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3"/>
      <c r="T157" s="23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 t="b">
        <v>1</v>
      </c>
      <c r="AC157" s="23"/>
      <c r="AD157" s="23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3"/>
      <c r="AL157" s="23" t="b">
        <v>1</v>
      </c>
      <c r="AM157" s="23"/>
      <c r="AN157" s="23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3"/>
      <c r="AV157" s="23" t="b">
        <v>1</v>
      </c>
      <c r="AW157" s="23"/>
      <c r="AX157" s="23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3"/>
      <c r="BF157" s="23" t="b">
        <v>1</v>
      </c>
      <c r="BG157" s="23"/>
      <c r="BH157" s="23"/>
      <c r="BI157" s="23"/>
      <c r="BJ157" s="23"/>
      <c r="BK157" s="52"/>
      <c r="BL157" s="23">
        <v>133</v>
      </c>
      <c r="BM157" s="23" t="s">
        <v>34</v>
      </c>
      <c r="BN157" s="23" t="s">
        <v>35</v>
      </c>
      <c r="BO157" s="23">
        <v>8.2981968000000003E-2</v>
      </c>
      <c r="BP157" s="23" t="b">
        <v>0</v>
      </c>
      <c r="BQ157" s="23">
        <v>0.12888856200000001</v>
      </c>
      <c r="BR157" s="23">
        <v>3.7075373000000002E-2</v>
      </c>
      <c r="BS157" s="23">
        <v>0</v>
      </c>
      <c r="BT157" s="23">
        <v>0</v>
      </c>
      <c r="BU157" s="52">
        <v>0</v>
      </c>
      <c r="BV157" s="23">
        <v>133</v>
      </c>
      <c r="BW157" s="23" t="s">
        <v>35</v>
      </c>
      <c r="BX157" s="23" t="s">
        <v>36</v>
      </c>
      <c r="BY157" s="23">
        <v>2.7151912349999998</v>
      </c>
      <c r="BZ157" s="23" t="b">
        <v>0</v>
      </c>
      <c r="CA157" s="23">
        <v>5.2528929660000001</v>
      </c>
      <c r="CB157" s="23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23">
        <v>134</v>
      </c>
      <c r="B158" s="23">
        <v>32</v>
      </c>
      <c r="C158" s="23">
        <v>134</v>
      </c>
      <c r="D158" s="75" t="s">
        <v>28</v>
      </c>
      <c r="E158" s="23" t="s">
        <v>29</v>
      </c>
      <c r="F158" s="23">
        <v>0.17680501600000001</v>
      </c>
      <c r="G158" s="23"/>
      <c r="H158" s="23" t="b">
        <v>0</v>
      </c>
      <c r="I158" s="23">
        <v>0.51657839699999997</v>
      </c>
      <c r="J158" s="23">
        <v>0</v>
      </c>
      <c r="K158" s="23">
        <v>0</v>
      </c>
      <c r="L158" s="23">
        <v>0</v>
      </c>
      <c r="M158" s="52">
        <v>0</v>
      </c>
      <c r="N158" s="75">
        <v>134</v>
      </c>
      <c r="O158" s="23" t="s">
        <v>29</v>
      </c>
      <c r="P158" s="23" t="s">
        <v>30</v>
      </c>
      <c r="Q158" s="23">
        <v>0.180282735</v>
      </c>
      <c r="R158" s="23" t="b">
        <v>1</v>
      </c>
      <c r="S158" s="23">
        <v>0.62148687499999999</v>
      </c>
      <c r="T158" s="23">
        <v>0</v>
      </c>
      <c r="U158" s="23">
        <v>6.3550322000000006E-2</v>
      </c>
      <c r="V158" s="23">
        <v>0.900118117</v>
      </c>
      <c r="W158" s="52">
        <v>0.238401005</v>
      </c>
      <c r="X158" s="23">
        <v>134</v>
      </c>
      <c r="Y158" s="23" t="s">
        <v>30</v>
      </c>
      <c r="Z158" s="23" t="s">
        <v>31</v>
      </c>
      <c r="AA158" s="23">
        <v>4.8706291999999998E-2</v>
      </c>
      <c r="AB158" s="23" t="b">
        <v>0</v>
      </c>
      <c r="AC158" s="23">
        <v>0.22579529200000001</v>
      </c>
      <c r="AD158" s="23">
        <v>0</v>
      </c>
      <c r="AE158" s="23">
        <v>0</v>
      </c>
      <c r="AF158" s="23">
        <v>0</v>
      </c>
      <c r="AG158" s="23">
        <v>0</v>
      </c>
      <c r="AH158" s="75">
        <v>134</v>
      </c>
      <c r="AI158" s="23" t="s">
        <v>31</v>
      </c>
      <c r="AJ158" s="23" t="s">
        <v>32</v>
      </c>
      <c r="AK158" s="23">
        <v>6.545281E-2</v>
      </c>
      <c r="AL158" s="23" t="b">
        <v>0</v>
      </c>
      <c r="AM158" s="23">
        <v>0.121395268</v>
      </c>
      <c r="AN158" s="23">
        <v>9.5103519999999997E-3</v>
      </c>
      <c r="AO158" s="23">
        <v>0</v>
      </c>
      <c r="AP158" s="23">
        <v>0</v>
      </c>
      <c r="AQ158" s="52">
        <v>0</v>
      </c>
      <c r="AR158" s="23">
        <v>134</v>
      </c>
      <c r="AS158" s="23" t="s">
        <v>32</v>
      </c>
      <c r="AT158" s="23" t="s">
        <v>33</v>
      </c>
      <c r="AU158" s="23">
        <v>2.2846252000000001E-2</v>
      </c>
      <c r="AV158" s="23" t="b">
        <v>1</v>
      </c>
      <c r="AW158" s="23">
        <v>9.3630315000000006E-2</v>
      </c>
      <c r="AX158" s="23">
        <v>0</v>
      </c>
      <c r="AY158" s="23">
        <v>2.1907430000000002E-3</v>
      </c>
      <c r="AZ158" s="23">
        <v>0.84279506999999998</v>
      </c>
      <c r="BA158" s="52">
        <v>0.39495040199999998</v>
      </c>
      <c r="BB158" s="75">
        <v>134</v>
      </c>
      <c r="BC158" s="23" t="s">
        <v>33</v>
      </c>
      <c r="BD158" s="23" t="s">
        <v>34</v>
      </c>
      <c r="BE158" s="23"/>
      <c r="BF158" s="23" t="b">
        <v>1</v>
      </c>
      <c r="BG158" s="23"/>
      <c r="BH158" s="23"/>
      <c r="BI158" s="23"/>
      <c r="BJ158" s="23"/>
      <c r="BK158" s="52"/>
      <c r="BL158" s="23">
        <v>134</v>
      </c>
      <c r="BM158" s="23" t="s">
        <v>34</v>
      </c>
      <c r="BN158" s="23" t="s">
        <v>35</v>
      </c>
      <c r="BO158" s="23"/>
      <c r="BP158" s="23" t="b">
        <v>1</v>
      </c>
      <c r="BQ158" s="23"/>
      <c r="BR158" s="23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3">
        <v>0.36297816900000002</v>
      </c>
      <c r="CB158" s="23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 t="b">
        <v>1</v>
      </c>
      <c r="I159" s="23"/>
      <c r="J159" s="23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3"/>
      <c r="T159" s="23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 t="b">
        <v>1</v>
      </c>
      <c r="AC159" s="23"/>
      <c r="AD159" s="23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3"/>
      <c r="AL159" s="23" t="b">
        <v>1</v>
      </c>
      <c r="AM159" s="23"/>
      <c r="AN159" s="23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 t="b">
        <v>1</v>
      </c>
      <c r="AW159" s="23"/>
      <c r="AX159" s="23"/>
      <c r="AY159" s="23"/>
      <c r="AZ159" s="23"/>
      <c r="BA159" s="52"/>
      <c r="BB159" s="75">
        <v>135</v>
      </c>
      <c r="BC159" s="23" t="s">
        <v>33</v>
      </c>
      <c r="BD159" s="23" t="s">
        <v>34</v>
      </c>
      <c r="BE159" s="23">
        <v>9.8214940000000001E-2</v>
      </c>
      <c r="BF159" s="23" t="b">
        <v>1</v>
      </c>
      <c r="BG159" s="23">
        <v>0.19724439099999999</v>
      </c>
      <c r="BH159" s="23">
        <v>0</v>
      </c>
      <c r="BI159" s="24">
        <v>6.72E-6</v>
      </c>
      <c r="BJ159" s="23">
        <v>1.420721E-3</v>
      </c>
      <c r="BK159" s="52">
        <v>5.9026200000000003E-4</v>
      </c>
      <c r="BL159" s="23">
        <v>135</v>
      </c>
      <c r="BM159" s="23" t="s">
        <v>34</v>
      </c>
      <c r="BN159" s="23" t="s">
        <v>35</v>
      </c>
      <c r="BO159" s="23">
        <v>0.118996372</v>
      </c>
      <c r="BP159" s="23" t="b">
        <v>1</v>
      </c>
      <c r="BQ159" s="23">
        <v>0.26159325</v>
      </c>
      <c r="BR159" s="23">
        <v>0</v>
      </c>
      <c r="BS159" s="23">
        <v>1.2392810000000001E-3</v>
      </c>
      <c r="BT159" s="23">
        <v>0.108791364</v>
      </c>
      <c r="BU159" s="52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3">
        <v>4.8437553319999997</v>
      </c>
      <c r="CB159" s="23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23">
        <v>136</v>
      </c>
      <c r="B160" s="23">
        <v>32</v>
      </c>
      <c r="C160" s="23">
        <v>136</v>
      </c>
      <c r="D160" s="75" t="s">
        <v>28</v>
      </c>
      <c r="E160" s="23" t="s">
        <v>29</v>
      </c>
      <c r="F160" s="23">
        <v>0.103208562</v>
      </c>
      <c r="G160" s="23"/>
      <c r="H160" s="23" t="b">
        <v>1</v>
      </c>
      <c r="I160" s="23">
        <v>0.29897834600000001</v>
      </c>
      <c r="J160" s="23">
        <v>0</v>
      </c>
      <c r="K160" s="23">
        <v>9.8427040000000007E-3</v>
      </c>
      <c r="L160" s="23">
        <v>0.65318227100000004</v>
      </c>
      <c r="M160" s="52">
        <v>0.19574797499999999</v>
      </c>
      <c r="N160" s="75">
        <v>136</v>
      </c>
      <c r="O160" s="23" t="s">
        <v>29</v>
      </c>
      <c r="P160" s="23" t="s">
        <v>30</v>
      </c>
      <c r="Q160" s="23">
        <v>6.3333114999999995E-2</v>
      </c>
      <c r="R160" s="23" t="b">
        <v>0</v>
      </c>
      <c r="S160" s="23">
        <v>0.229686062</v>
      </c>
      <c r="T160" s="23">
        <v>0</v>
      </c>
      <c r="U160" s="23">
        <v>0</v>
      </c>
      <c r="V160" s="23">
        <v>0</v>
      </c>
      <c r="W160" s="52">
        <v>0</v>
      </c>
      <c r="X160" s="23">
        <v>136</v>
      </c>
      <c r="Y160" s="23" t="s">
        <v>30</v>
      </c>
      <c r="Z160" s="23" t="s">
        <v>31</v>
      </c>
      <c r="AA160" s="23">
        <v>2.2665086000000001E-2</v>
      </c>
      <c r="AB160" s="23" t="b">
        <v>0</v>
      </c>
      <c r="AC160" s="23">
        <v>7.6025071999999999E-2</v>
      </c>
      <c r="AD160" s="23">
        <v>0</v>
      </c>
      <c r="AE160" s="23">
        <v>0</v>
      </c>
      <c r="AF160" s="23">
        <v>0</v>
      </c>
      <c r="AG160" s="23">
        <v>0</v>
      </c>
      <c r="AH160" s="75">
        <v>136</v>
      </c>
      <c r="AI160" s="23" t="s">
        <v>31</v>
      </c>
      <c r="AJ160" s="23" t="s">
        <v>32</v>
      </c>
      <c r="AK160" s="23">
        <v>3.1907907999999999E-2</v>
      </c>
      <c r="AL160" s="23" t="b">
        <v>0</v>
      </c>
      <c r="AM160" s="23">
        <v>0.14239950900000001</v>
      </c>
      <c r="AN160" s="23">
        <v>0</v>
      </c>
      <c r="AO160" s="23">
        <v>0</v>
      </c>
      <c r="AP160" s="23">
        <v>0</v>
      </c>
      <c r="AQ160" s="52">
        <v>0</v>
      </c>
      <c r="AR160" s="23">
        <v>136</v>
      </c>
      <c r="AS160" s="23" t="s">
        <v>32</v>
      </c>
      <c r="AT160" s="23" t="s">
        <v>33</v>
      </c>
      <c r="AU160" s="23"/>
      <c r="AV160" s="23" t="b">
        <v>1</v>
      </c>
      <c r="AW160" s="23"/>
      <c r="AX160" s="23"/>
      <c r="AY160" s="23"/>
      <c r="AZ160" s="23"/>
      <c r="BA160" s="52"/>
      <c r="BB160" s="75">
        <v>136</v>
      </c>
      <c r="BC160" s="23" t="s">
        <v>33</v>
      </c>
      <c r="BD160" s="23" t="s">
        <v>34</v>
      </c>
      <c r="BE160" s="23"/>
      <c r="BF160" s="23" t="b">
        <v>1</v>
      </c>
      <c r="BG160" s="23"/>
      <c r="BH160" s="23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3"/>
      <c r="BP160" s="23" t="b">
        <v>1</v>
      </c>
      <c r="BQ160" s="23"/>
      <c r="BR160" s="23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3"/>
      <c r="CB160" s="23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 t="b">
        <v>1</v>
      </c>
      <c r="I161" s="23"/>
      <c r="J161" s="23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3"/>
      <c r="T161" s="23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 t="b">
        <v>1</v>
      </c>
      <c r="AC161" s="23"/>
      <c r="AD161" s="23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3"/>
      <c r="AL161" s="23" t="b">
        <v>1</v>
      </c>
      <c r="AM161" s="23"/>
      <c r="AN161" s="23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 t="b">
        <v>1</v>
      </c>
      <c r="AW161" s="23"/>
      <c r="AX161" s="23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 t="b">
        <v>1</v>
      </c>
      <c r="BG161" s="23"/>
      <c r="BH161" s="23"/>
      <c r="BI161" s="23"/>
      <c r="BJ161" s="23"/>
      <c r="BK161" s="52"/>
      <c r="BL161" s="23">
        <v>137</v>
      </c>
      <c r="BM161" s="23" t="s">
        <v>34</v>
      </c>
      <c r="BN161" s="23" t="s">
        <v>35</v>
      </c>
      <c r="BO161" s="23">
        <v>2.9924004000000001E-2</v>
      </c>
      <c r="BP161" s="23" t="b">
        <v>1</v>
      </c>
      <c r="BQ161" s="23">
        <v>0.101464951</v>
      </c>
      <c r="BR161" s="23">
        <v>0</v>
      </c>
      <c r="BS161" s="23">
        <v>1.930623E-3</v>
      </c>
      <c r="BT161" s="23">
        <v>0.55373888500000001</v>
      </c>
      <c r="BU161" s="52">
        <v>0.42053174199999999</v>
      </c>
      <c r="BV161" s="23">
        <v>137</v>
      </c>
      <c r="BW161" s="23" t="s">
        <v>35</v>
      </c>
      <c r="BX161" s="23" t="s">
        <v>36</v>
      </c>
      <c r="BY161" s="23">
        <v>2.717947734</v>
      </c>
      <c r="BZ161" s="23" t="b">
        <v>0</v>
      </c>
      <c r="CA161" s="23">
        <v>4.6285065479999998</v>
      </c>
      <c r="CB161" s="23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 t="b">
        <v>1</v>
      </c>
      <c r="I162" s="23"/>
      <c r="J162" s="23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3"/>
      <c r="T162" s="23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 t="b">
        <v>1</v>
      </c>
      <c r="AC162" s="23"/>
      <c r="AD162" s="23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3"/>
      <c r="AL162" s="23" t="b">
        <v>1</v>
      </c>
      <c r="AM162" s="23"/>
      <c r="AN162" s="23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 t="b">
        <v>1</v>
      </c>
      <c r="AW162" s="23"/>
      <c r="AX162" s="23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 t="b">
        <v>1</v>
      </c>
      <c r="BG162" s="23"/>
      <c r="BH162" s="23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3"/>
      <c r="BP162" s="23" t="b">
        <v>1</v>
      </c>
      <c r="BQ162" s="23"/>
      <c r="BR162" s="23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3"/>
      <c r="CB162" s="23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 t="b">
        <v>1</v>
      </c>
      <c r="I163" s="25"/>
      <c r="J163" s="25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5"/>
      <c r="T163" s="25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 t="b">
        <v>1</v>
      </c>
      <c r="AC163" s="25"/>
      <c r="AD163" s="25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5"/>
      <c r="AL163" s="25" t="b">
        <v>1</v>
      </c>
      <c r="AM163" s="25"/>
      <c r="AN163" s="25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 t="b">
        <v>1</v>
      </c>
      <c r="AW163" s="25"/>
      <c r="AX163" s="25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 t="b">
        <v>1</v>
      </c>
      <c r="BG163" s="25"/>
      <c r="BH163" s="25"/>
      <c r="BI163" s="25"/>
      <c r="BJ163" s="25"/>
      <c r="BK163" s="53"/>
      <c r="BL163" s="25">
        <v>139</v>
      </c>
      <c r="BM163" s="25" t="s">
        <v>34</v>
      </c>
      <c r="BN163" s="23" t="s">
        <v>35</v>
      </c>
      <c r="BO163" s="25">
        <v>9.6989771000000002E-2</v>
      </c>
      <c r="BP163" s="25" t="b">
        <v>0</v>
      </c>
      <c r="BQ163" s="25">
        <v>0.108451751</v>
      </c>
      <c r="BR163" s="25">
        <v>8.5527792000000005E-2</v>
      </c>
      <c r="BS163" s="25">
        <v>0</v>
      </c>
      <c r="BT163" s="25">
        <v>0</v>
      </c>
      <c r="BU163" s="53">
        <v>0</v>
      </c>
      <c r="BV163" s="23">
        <v>139</v>
      </c>
      <c r="BW163" s="25" t="s">
        <v>35</v>
      </c>
      <c r="BX163" s="25" t="s">
        <v>36</v>
      </c>
      <c r="BY163" s="25">
        <v>0.16237633400000001</v>
      </c>
      <c r="BZ163" s="25" t="b">
        <v>0</v>
      </c>
      <c r="CA163" s="25">
        <v>0.16824651700000001</v>
      </c>
      <c r="CB163" s="25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3"/>
      <c r="J164" s="23"/>
      <c r="K164" s="23"/>
      <c r="L164" s="23"/>
      <c r="M164" s="52"/>
      <c r="N164" s="75"/>
      <c r="O164" s="23"/>
      <c r="P164" s="23"/>
      <c r="Q164" s="23"/>
      <c r="R164" s="23"/>
      <c r="S164" s="23"/>
      <c r="T164" s="23"/>
      <c r="U164" s="23"/>
      <c r="V164" s="23"/>
      <c r="W164" s="52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75"/>
      <c r="AI164" s="23"/>
      <c r="AJ164" s="23"/>
      <c r="AK164" s="23"/>
      <c r="AL164" s="23"/>
      <c r="AM164" s="23"/>
      <c r="AN164" s="23"/>
      <c r="AO164" s="23"/>
      <c r="AP164" s="23"/>
      <c r="AQ164" s="52"/>
      <c r="AR164" s="23"/>
      <c r="AS164" s="23"/>
      <c r="AT164" s="23"/>
      <c r="AU164" s="23"/>
      <c r="AV164" s="23"/>
      <c r="AW164" s="23"/>
      <c r="AX164" s="23"/>
      <c r="AY164" s="23"/>
      <c r="AZ164" s="23"/>
      <c r="BA164" s="52"/>
      <c r="BB164" s="75"/>
      <c r="BC164" s="23"/>
      <c r="BD164" s="23"/>
      <c r="BE164" s="23"/>
      <c r="BF164" s="23"/>
      <c r="BG164" s="23"/>
      <c r="BH164" s="23"/>
      <c r="BI164" s="23"/>
      <c r="BJ164" s="23"/>
      <c r="BK164" s="52"/>
      <c r="BL164" s="23"/>
      <c r="BM164" s="23" t="s">
        <v>34</v>
      </c>
      <c r="BN164" s="23" t="s">
        <v>35</v>
      </c>
      <c r="BO164" s="23"/>
      <c r="BP164" s="23"/>
      <c r="BQ164" s="23"/>
      <c r="BR164" s="23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3"/>
      <c r="CB164" s="23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3"/>
      <c r="J165" s="23"/>
      <c r="K165" s="23"/>
      <c r="L165" s="23"/>
      <c r="M165" s="52"/>
      <c r="N165" s="75"/>
      <c r="O165" s="23"/>
      <c r="P165" s="23"/>
      <c r="Q165" s="23"/>
      <c r="R165" s="23"/>
      <c r="S165" s="23"/>
      <c r="T165" s="23"/>
      <c r="U165" s="23"/>
      <c r="V165" s="23"/>
      <c r="W165" s="52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75"/>
      <c r="AI165" s="23"/>
      <c r="AJ165" s="23"/>
      <c r="AK165" s="23"/>
      <c r="AL165" s="23"/>
      <c r="AM165" s="23"/>
      <c r="AN165" s="23"/>
      <c r="AO165" s="23"/>
      <c r="AP165" s="23"/>
      <c r="AQ165" s="52"/>
      <c r="AR165" s="23"/>
      <c r="AS165" s="23"/>
      <c r="AT165" s="23"/>
      <c r="AU165" s="23"/>
      <c r="AV165" s="23"/>
      <c r="AW165" s="23"/>
      <c r="AX165" s="23"/>
      <c r="AY165" s="23"/>
      <c r="AZ165" s="23"/>
      <c r="BA165" s="52"/>
      <c r="BB165" s="75"/>
      <c r="BC165" s="23"/>
      <c r="BD165" s="23"/>
      <c r="BE165" s="23"/>
      <c r="BF165" s="23"/>
      <c r="BG165" s="23"/>
      <c r="BH165" s="23"/>
      <c r="BI165" s="23"/>
      <c r="BJ165" s="23"/>
      <c r="BK165" s="52"/>
      <c r="BL165" s="23"/>
      <c r="BM165" s="23" t="s">
        <v>34</v>
      </c>
      <c r="BN165" s="23" t="s">
        <v>35</v>
      </c>
      <c r="BO165" s="23">
        <v>5.7096379022317401E-2</v>
      </c>
      <c r="BP165" s="23"/>
      <c r="BQ165" s="23">
        <v>0.105727636550286</v>
      </c>
      <c r="BR165" s="23">
        <v>8.4651214943480303E-3</v>
      </c>
      <c r="BS165" s="23"/>
      <c r="BT165" s="23"/>
      <c r="BU165" s="52"/>
      <c r="BV165" s="23">
        <v>141</v>
      </c>
      <c r="BW165" s="23" t="s">
        <v>35</v>
      </c>
      <c r="BX165" s="23" t="s">
        <v>36</v>
      </c>
      <c r="BY165" s="23">
        <v>2.9254612681013898</v>
      </c>
      <c r="BZ165" s="23"/>
      <c r="CA165" s="23">
        <v>4.3166178892899296</v>
      </c>
      <c r="CB165" s="23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3"/>
      <c r="J166" s="23"/>
      <c r="K166" s="23"/>
      <c r="L166" s="23"/>
      <c r="M166" s="52"/>
      <c r="N166" s="75"/>
      <c r="O166" s="23"/>
      <c r="P166" s="23"/>
      <c r="Q166" s="23"/>
      <c r="R166" s="23"/>
      <c r="S166" s="23"/>
      <c r="T166" s="23"/>
      <c r="U166" s="23"/>
      <c r="V166" s="23"/>
      <c r="W166" s="52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75"/>
      <c r="AI166" s="23"/>
      <c r="AJ166" s="23"/>
      <c r="AK166" s="23"/>
      <c r="AL166" s="23"/>
      <c r="AM166" s="23"/>
      <c r="AN166" s="23"/>
      <c r="AO166" s="23"/>
      <c r="AP166" s="23"/>
      <c r="AQ166" s="52"/>
      <c r="AR166" s="23"/>
      <c r="AS166" s="23"/>
      <c r="AT166" s="23"/>
      <c r="AU166" s="23"/>
      <c r="AV166" s="23"/>
      <c r="AW166" s="23"/>
      <c r="AX166" s="23"/>
      <c r="AY166" s="23"/>
      <c r="AZ166" s="23"/>
      <c r="BA166" s="52"/>
      <c r="BB166" s="75"/>
      <c r="BC166" s="23"/>
      <c r="BD166" s="23"/>
      <c r="BE166" s="23"/>
      <c r="BF166" s="23"/>
      <c r="BG166" s="23"/>
      <c r="BH166" s="23"/>
      <c r="BI166" s="23"/>
      <c r="BJ166" s="23"/>
      <c r="BK166" s="52"/>
      <c r="BL166" s="23"/>
      <c r="BM166" s="23" t="s">
        <v>34</v>
      </c>
      <c r="BN166" s="23" t="s">
        <v>35</v>
      </c>
      <c r="BO166" s="23">
        <v>2.5587449872835399E-2</v>
      </c>
      <c r="BP166" s="23"/>
      <c r="BQ166" s="23">
        <v>0.45007931762401499</v>
      </c>
      <c r="BR166" s="23">
        <v>0</v>
      </c>
      <c r="BS166" s="23"/>
      <c r="BT166" s="23"/>
      <c r="BU166" s="52"/>
      <c r="BV166" s="23">
        <v>142</v>
      </c>
      <c r="BW166" s="23" t="s">
        <v>35</v>
      </c>
      <c r="BX166" s="23" t="s">
        <v>36</v>
      </c>
      <c r="BY166" s="23"/>
      <c r="BZ166" s="23"/>
      <c r="CA166" s="23"/>
      <c r="CB166" s="23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3"/>
      <c r="J167" s="23"/>
      <c r="K167" s="23"/>
      <c r="L167" s="23"/>
      <c r="M167" s="52"/>
      <c r="N167" s="75"/>
      <c r="O167" s="23"/>
      <c r="P167" s="23"/>
      <c r="Q167" s="23"/>
      <c r="R167" s="23"/>
      <c r="S167" s="23"/>
      <c r="T167" s="23"/>
      <c r="U167" s="23"/>
      <c r="V167" s="23"/>
      <c r="W167" s="52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75"/>
      <c r="AI167" s="23"/>
      <c r="AJ167" s="23"/>
      <c r="AK167" s="23"/>
      <c r="AL167" s="23"/>
      <c r="AM167" s="23"/>
      <c r="AN167" s="23"/>
      <c r="AO167" s="23"/>
      <c r="AP167" s="23"/>
      <c r="AQ167" s="52"/>
      <c r="AR167" s="23"/>
      <c r="AS167" s="23"/>
      <c r="AT167" s="23"/>
      <c r="AU167" s="23"/>
      <c r="AV167" s="23"/>
      <c r="AW167" s="23"/>
      <c r="AX167" s="23"/>
      <c r="AY167" s="23"/>
      <c r="AZ167" s="23"/>
      <c r="BA167" s="52"/>
      <c r="BB167" s="75"/>
      <c r="BC167" s="23"/>
      <c r="BD167" s="23"/>
      <c r="BE167" s="23"/>
      <c r="BF167" s="23"/>
      <c r="BG167" s="23"/>
      <c r="BH167" s="23"/>
      <c r="BI167" s="23"/>
      <c r="BJ167" s="23"/>
      <c r="BK167" s="52"/>
      <c r="BL167" s="23"/>
      <c r="BM167" s="23" t="s">
        <v>34</v>
      </c>
      <c r="BN167" s="23" t="s">
        <v>35</v>
      </c>
      <c r="BO167" s="23"/>
      <c r="BP167" s="23"/>
      <c r="BQ167" s="23"/>
      <c r="BR167" s="23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3"/>
      <c r="CB167" s="23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3"/>
      <c r="J168" s="23"/>
      <c r="K168" s="23"/>
      <c r="L168" s="23"/>
      <c r="M168" s="52"/>
      <c r="N168" s="75"/>
      <c r="O168" s="23"/>
      <c r="P168" s="23"/>
      <c r="Q168" s="23"/>
      <c r="R168" s="23"/>
      <c r="S168" s="23"/>
      <c r="T168" s="23"/>
      <c r="U168" s="23"/>
      <c r="V168" s="23"/>
      <c r="W168" s="52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75"/>
      <c r="AI168" s="23"/>
      <c r="AJ168" s="23"/>
      <c r="AK168" s="23"/>
      <c r="AL168" s="23"/>
      <c r="AM168" s="23"/>
      <c r="AN168" s="23"/>
      <c r="AO168" s="23"/>
      <c r="AP168" s="23"/>
      <c r="AQ168" s="52"/>
      <c r="AR168" s="23"/>
      <c r="AS168" s="23"/>
      <c r="AT168" s="23"/>
      <c r="AU168" s="23"/>
      <c r="AV168" s="23"/>
      <c r="AW168" s="23"/>
      <c r="AX168" s="23"/>
      <c r="AY168" s="23"/>
      <c r="AZ168" s="23"/>
      <c r="BA168" s="52"/>
      <c r="BB168" s="75"/>
      <c r="BC168" s="23"/>
      <c r="BD168" s="23"/>
      <c r="BE168" s="23"/>
      <c r="BF168" s="23"/>
      <c r="BG168" s="23"/>
      <c r="BH168" s="23"/>
      <c r="BI168" s="23"/>
      <c r="BJ168" s="23"/>
      <c r="BK168" s="52"/>
      <c r="BL168" s="23"/>
      <c r="BM168" s="23" t="s">
        <v>34</v>
      </c>
      <c r="BN168" s="23" t="s">
        <v>35</v>
      </c>
      <c r="BO168" s="23">
        <v>0.14970417530546801</v>
      </c>
      <c r="BP168" s="23"/>
      <c r="BQ168" s="23">
        <v>0.31947469753322499</v>
      </c>
      <c r="BR168" s="23">
        <v>0</v>
      </c>
      <c r="BS168" s="23"/>
      <c r="BT168" s="23"/>
      <c r="BU168" s="52"/>
      <c r="BV168" s="23">
        <v>144</v>
      </c>
      <c r="BW168" s="23" t="s">
        <v>35</v>
      </c>
      <c r="BX168" s="23" t="s">
        <v>36</v>
      </c>
      <c r="BY168" s="23"/>
      <c r="BZ168" s="23"/>
      <c r="CA168" s="23"/>
      <c r="CB168" s="23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3"/>
      <c r="J169" s="23"/>
      <c r="K169" s="23"/>
      <c r="L169" s="23"/>
      <c r="M169" s="52"/>
      <c r="N169" s="75"/>
      <c r="O169" s="23"/>
      <c r="P169" s="23"/>
      <c r="Q169" s="23"/>
      <c r="R169" s="23"/>
      <c r="S169" s="23"/>
      <c r="T169" s="23"/>
      <c r="U169" s="23"/>
      <c r="V169" s="23"/>
      <c r="W169" s="52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75"/>
      <c r="AI169" s="23"/>
      <c r="AJ169" s="23"/>
      <c r="AK169" s="23"/>
      <c r="AL169" s="23"/>
      <c r="AM169" s="23"/>
      <c r="AN169" s="23"/>
      <c r="AO169" s="23"/>
      <c r="AP169" s="23"/>
      <c r="AQ169" s="52"/>
      <c r="AR169" s="23"/>
      <c r="AS169" s="23"/>
      <c r="AT169" s="23"/>
      <c r="AU169" s="23"/>
      <c r="AV169" s="23"/>
      <c r="AW169" s="23"/>
      <c r="AX169" s="23"/>
      <c r="AY169" s="23"/>
      <c r="AZ169" s="23"/>
      <c r="BA169" s="52"/>
      <c r="BB169" s="75"/>
      <c r="BC169" s="23"/>
      <c r="BD169" s="23"/>
      <c r="BE169" s="23"/>
      <c r="BF169" s="23"/>
      <c r="BG169" s="23"/>
      <c r="BH169" s="23"/>
      <c r="BI169" s="23"/>
      <c r="BJ169" s="23"/>
      <c r="BK169" s="52"/>
      <c r="BL169" s="23"/>
      <c r="BM169" s="23" t="s">
        <v>34</v>
      </c>
      <c r="BN169" s="23" t="s">
        <v>35</v>
      </c>
      <c r="BO169" s="23">
        <v>0.16046871055592599</v>
      </c>
      <c r="BP169" s="23"/>
      <c r="BQ169" s="23">
        <v>0.38619101091735503</v>
      </c>
      <c r="BR169" s="23">
        <v>0</v>
      </c>
      <c r="BS169" s="23"/>
      <c r="BT169" s="23"/>
      <c r="BU169" s="52"/>
      <c r="BV169" s="23">
        <v>145</v>
      </c>
      <c r="BW169" s="23" t="s">
        <v>35</v>
      </c>
      <c r="BX169" s="23" t="s">
        <v>36</v>
      </c>
      <c r="BY169" s="23">
        <v>0.123935912134957</v>
      </c>
      <c r="BZ169" s="23"/>
      <c r="CA169" s="23">
        <v>0.38931977615874502</v>
      </c>
      <c r="CB169" s="23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3"/>
      <c r="J170" s="23"/>
      <c r="K170" s="23"/>
      <c r="L170" s="23"/>
      <c r="M170" s="52"/>
      <c r="N170" s="75"/>
      <c r="O170" s="23"/>
      <c r="P170" s="23"/>
      <c r="Q170" s="23"/>
      <c r="R170" s="23"/>
      <c r="S170" s="23"/>
      <c r="T170" s="23"/>
      <c r="U170" s="23"/>
      <c r="V170" s="23"/>
      <c r="W170" s="52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75"/>
      <c r="AI170" s="23"/>
      <c r="AJ170" s="23"/>
      <c r="AK170" s="23"/>
      <c r="AL170" s="23"/>
      <c r="AM170" s="23"/>
      <c r="AN170" s="23"/>
      <c r="AO170" s="23"/>
      <c r="AP170" s="23"/>
      <c r="AQ170" s="52"/>
      <c r="AR170" s="23"/>
      <c r="AS170" s="23"/>
      <c r="AT170" s="23"/>
      <c r="AU170" s="23"/>
      <c r="AV170" s="23"/>
      <c r="AW170" s="23"/>
      <c r="AX170" s="23"/>
      <c r="AY170" s="23"/>
      <c r="AZ170" s="23"/>
      <c r="BA170" s="52"/>
      <c r="BB170" s="75"/>
      <c r="BC170" s="23"/>
      <c r="BD170" s="23"/>
      <c r="BE170" s="23"/>
      <c r="BF170" s="23"/>
      <c r="BG170" s="23"/>
      <c r="BH170" s="23"/>
      <c r="BI170" s="23"/>
      <c r="BJ170" s="23"/>
      <c r="BK170" s="52"/>
      <c r="BL170" s="23"/>
      <c r="BM170" s="23" t="s">
        <v>34</v>
      </c>
      <c r="BN170" s="23" t="s">
        <v>35</v>
      </c>
      <c r="BO170" s="23">
        <v>3.2649006105386798E-2</v>
      </c>
      <c r="BP170" s="23"/>
      <c r="BQ170" s="23">
        <v>0.34736460632755001</v>
      </c>
      <c r="BR170" s="23">
        <v>0</v>
      </c>
      <c r="BS170" s="23"/>
      <c r="BT170" s="23"/>
      <c r="BU170" s="52"/>
      <c r="BV170" s="23">
        <v>146</v>
      </c>
      <c r="BW170" s="23" t="s">
        <v>35</v>
      </c>
      <c r="BX170" s="23" t="s">
        <v>36</v>
      </c>
      <c r="BY170" s="23">
        <v>1.1078322024837099E-2</v>
      </c>
      <c r="BZ170" s="23"/>
      <c r="CA170" s="23">
        <v>0.434538334095326</v>
      </c>
      <c r="CB170" s="23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3"/>
      <c r="J171" s="23"/>
      <c r="K171" s="23"/>
      <c r="L171" s="23"/>
      <c r="M171" s="52"/>
      <c r="N171" s="75"/>
      <c r="O171" s="23"/>
      <c r="P171" s="23"/>
      <c r="Q171" s="23"/>
      <c r="R171" s="23"/>
      <c r="S171" s="23"/>
      <c r="T171" s="23"/>
      <c r="U171" s="23"/>
      <c r="V171" s="23"/>
      <c r="W171" s="52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75"/>
      <c r="AI171" s="23"/>
      <c r="AJ171" s="23"/>
      <c r="AK171" s="23"/>
      <c r="AL171" s="23"/>
      <c r="AM171" s="23"/>
      <c r="AN171" s="23"/>
      <c r="AO171" s="23"/>
      <c r="AP171" s="23"/>
      <c r="AQ171" s="52"/>
      <c r="AR171" s="23"/>
      <c r="AS171" s="23"/>
      <c r="AT171" s="23"/>
      <c r="AU171" s="23"/>
      <c r="AV171" s="23"/>
      <c r="AW171" s="23"/>
      <c r="AX171" s="23"/>
      <c r="AY171" s="23"/>
      <c r="AZ171" s="23"/>
      <c r="BA171" s="52"/>
      <c r="BB171" s="75"/>
      <c r="BC171" s="23"/>
      <c r="BD171" s="23"/>
      <c r="BE171" s="23"/>
      <c r="BF171" s="23"/>
      <c r="BG171" s="23"/>
      <c r="BH171" s="23"/>
      <c r="BI171" s="23"/>
      <c r="BJ171" s="23"/>
      <c r="BK171" s="52"/>
      <c r="BL171" s="23"/>
      <c r="BM171" s="23" t="s">
        <v>34</v>
      </c>
      <c r="BN171" s="23" t="s">
        <v>35</v>
      </c>
      <c r="BO171" s="23"/>
      <c r="BP171" s="23"/>
      <c r="BQ171" s="23"/>
      <c r="BR171" s="23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3"/>
      <c r="CB171" s="23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3"/>
      <c r="J172" s="23"/>
      <c r="K172" s="23"/>
      <c r="L172" s="23"/>
      <c r="M172" s="52"/>
      <c r="N172" s="75"/>
      <c r="O172" s="23"/>
      <c r="P172" s="23"/>
      <c r="Q172" s="23"/>
      <c r="R172" s="23"/>
      <c r="S172" s="23"/>
      <c r="T172" s="23"/>
      <c r="U172" s="23"/>
      <c r="V172" s="23"/>
      <c r="W172" s="52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75"/>
      <c r="AI172" s="23"/>
      <c r="AJ172" s="23"/>
      <c r="AK172" s="23"/>
      <c r="AL172" s="23"/>
      <c r="AM172" s="23"/>
      <c r="AN172" s="23"/>
      <c r="AO172" s="23"/>
      <c r="AP172" s="23"/>
      <c r="AQ172" s="52"/>
      <c r="AR172" s="23"/>
      <c r="AS172" s="23"/>
      <c r="AT172" s="23"/>
      <c r="AU172" s="23"/>
      <c r="AV172" s="23"/>
      <c r="AW172" s="23"/>
      <c r="AX172" s="23"/>
      <c r="AY172" s="23"/>
      <c r="AZ172" s="23"/>
      <c r="BA172" s="52"/>
      <c r="BB172" s="75"/>
      <c r="BC172" s="23"/>
      <c r="BD172" s="23"/>
      <c r="BE172" s="23"/>
      <c r="BF172" s="23"/>
      <c r="BG172" s="23"/>
      <c r="BH172" s="23"/>
      <c r="BI172" s="23"/>
      <c r="BJ172" s="23"/>
      <c r="BK172" s="52"/>
      <c r="BL172" s="23"/>
      <c r="BM172" s="23" t="s">
        <v>34</v>
      </c>
      <c r="BN172" s="23" t="s">
        <v>35</v>
      </c>
      <c r="BO172" s="23">
        <v>5.7583968349294197E-2</v>
      </c>
      <c r="BP172" s="23"/>
      <c r="BQ172" s="23">
        <v>0.11325374437037899</v>
      </c>
      <c r="BR172" s="23">
        <v>1.91419232820867E-3</v>
      </c>
      <c r="BS172" s="23"/>
      <c r="BT172" s="23"/>
      <c r="BU172" s="52"/>
      <c r="BV172" s="23">
        <v>148</v>
      </c>
      <c r="BW172" s="23" t="s">
        <v>35</v>
      </c>
      <c r="BX172" s="23" t="s">
        <v>36</v>
      </c>
      <c r="BY172" s="23">
        <v>2.7746432338584701</v>
      </c>
      <c r="BZ172" s="23"/>
      <c r="CA172" s="23">
        <v>5.4321365883402999</v>
      </c>
      <c r="CB172" s="23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3"/>
      <c r="J173" s="23"/>
      <c r="K173" s="23"/>
      <c r="L173" s="23"/>
      <c r="M173" s="52"/>
      <c r="N173" s="75"/>
      <c r="O173" s="23"/>
      <c r="P173" s="23"/>
      <c r="Q173" s="23"/>
      <c r="R173" s="23"/>
      <c r="S173" s="23"/>
      <c r="T173" s="23"/>
      <c r="U173" s="23"/>
      <c r="V173" s="23"/>
      <c r="W173" s="52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75"/>
      <c r="AI173" s="23"/>
      <c r="AJ173" s="23"/>
      <c r="AK173" s="23"/>
      <c r="AL173" s="23"/>
      <c r="AM173" s="23"/>
      <c r="AN173" s="23"/>
      <c r="AO173" s="23"/>
      <c r="AP173" s="23"/>
      <c r="AQ173" s="52"/>
      <c r="AR173" s="23"/>
      <c r="AS173" s="23"/>
      <c r="AT173" s="23"/>
      <c r="AU173" s="23"/>
      <c r="AV173" s="23"/>
      <c r="AW173" s="23"/>
      <c r="AX173" s="23"/>
      <c r="AY173" s="23"/>
      <c r="AZ173" s="23"/>
      <c r="BA173" s="52"/>
      <c r="BB173" s="75"/>
      <c r="BC173" s="23"/>
      <c r="BD173" s="23"/>
      <c r="BE173" s="23"/>
      <c r="BF173" s="23"/>
      <c r="BG173" s="23"/>
      <c r="BH173" s="23"/>
      <c r="BI173" s="23"/>
      <c r="BJ173" s="23"/>
      <c r="BK173" s="52"/>
      <c r="BL173" s="23"/>
      <c r="BM173" s="23" t="s">
        <v>34</v>
      </c>
      <c r="BN173" s="23" t="s">
        <v>35</v>
      </c>
      <c r="BO173" s="23">
        <v>2.89559263563045E-2</v>
      </c>
      <c r="BP173" s="23"/>
      <c r="BQ173" s="23">
        <v>7.6357514269767696E-2</v>
      </c>
      <c r="BR173" s="23">
        <v>0</v>
      </c>
      <c r="BS173" s="23"/>
      <c r="BT173" s="23"/>
      <c r="BU173" s="52"/>
      <c r="BV173" s="23">
        <v>149</v>
      </c>
      <c r="BW173" s="23" t="s">
        <v>35</v>
      </c>
      <c r="BX173" s="23" t="s">
        <v>36</v>
      </c>
      <c r="BY173" s="23">
        <v>3.0721735326091099E-2</v>
      </c>
      <c r="BZ173" s="23"/>
      <c r="CA173" s="23">
        <v>0.109872537502085</v>
      </c>
      <c r="CB173" s="23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90">
        <f>AVERAGE(I118:I173)</f>
        <v>0.37301659814285715</v>
      </c>
      <c r="J174" s="9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90">
        <f>AVERAGE(S118:S173)</f>
        <v>0.35595282353846158</v>
      </c>
      <c r="T174" s="9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90">
        <f>AVERAGE(AC118:AC173)</f>
        <v>0.25640337176923073</v>
      </c>
      <c r="AD174" s="9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90">
        <f>AVERAGE(AM118:AM173)</f>
        <v>0.21785467118749999</v>
      </c>
      <c r="AN174" s="9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90">
        <f>AVERAGE(AW118:AW173)</f>
        <v>0.44935273737500003</v>
      </c>
      <c r="AX174" s="9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90">
        <f>AVERAGE(BG118:BG173)</f>
        <v>1.2638500604545455</v>
      </c>
      <c r="BH174" s="90">
        <f>AVERAGE(BH118:BH173)</f>
        <v>0.87088397027272724</v>
      </c>
      <c r="BI174" s="90"/>
      <c r="BJ174" s="90"/>
      <c r="BK174" s="102"/>
      <c r="BL174" s="90"/>
      <c r="BM174" s="110"/>
      <c r="BN174" s="90"/>
      <c r="BO174" s="90">
        <f>AVERAGE(BO118:BO173)</f>
        <v>0.37045692148198062</v>
      </c>
      <c r="BP174" s="90"/>
      <c r="BQ174" s="90">
        <f>AVERAGE(BQ118:BQ173)</f>
        <v>0.66181090614969074</v>
      </c>
      <c r="BR174" s="90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90">
        <f>AVERAGE(CA118:CA173)</f>
        <v>1.7744871714515822</v>
      </c>
      <c r="CB174" s="9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 t="b">
        <v>1</v>
      </c>
      <c r="I175" s="27"/>
      <c r="J175" s="27"/>
      <c r="K175" s="27"/>
      <c r="L175" s="27"/>
      <c r="M175" s="54"/>
      <c r="N175" s="77">
        <v>1039</v>
      </c>
      <c r="O175" s="27" t="s">
        <v>29</v>
      </c>
      <c r="P175" s="27" t="s">
        <v>30</v>
      </c>
      <c r="Q175" s="27">
        <v>1.078033622</v>
      </c>
      <c r="R175" s="27" t="b">
        <v>0</v>
      </c>
      <c r="S175" s="27">
        <v>1.20791782</v>
      </c>
      <c r="T175" s="27">
        <v>0.94814942499999999</v>
      </c>
      <c r="U175" s="27">
        <v>0</v>
      </c>
      <c r="V175" s="27">
        <v>0</v>
      </c>
      <c r="W175" s="54">
        <v>0</v>
      </c>
      <c r="X175" s="27">
        <v>1039</v>
      </c>
      <c r="Y175" s="27" t="s">
        <v>30</v>
      </c>
      <c r="Z175" s="27" t="s">
        <v>31</v>
      </c>
      <c r="AA175" s="27"/>
      <c r="AB175" s="27" t="b">
        <v>1</v>
      </c>
      <c r="AC175" s="27"/>
      <c r="AD175" s="27"/>
      <c r="AE175" s="27"/>
      <c r="AF175" s="27"/>
      <c r="AG175" s="27"/>
      <c r="AH175" s="77">
        <v>1039</v>
      </c>
      <c r="AI175" s="27" t="s">
        <v>31</v>
      </c>
      <c r="AJ175" s="27" t="s">
        <v>32</v>
      </c>
      <c r="AK175" s="27"/>
      <c r="AL175" s="27" t="b">
        <v>1</v>
      </c>
      <c r="AM175" s="27"/>
      <c r="AN175" s="27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 t="b">
        <v>1</v>
      </c>
      <c r="AW175" s="27"/>
      <c r="AX175" s="27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 t="b">
        <v>1</v>
      </c>
      <c r="BG175" s="27"/>
      <c r="BH175" s="27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"/>
      <c r="BR175" s="27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"/>
      <c r="CB175" s="27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 t="b">
        <v>1</v>
      </c>
      <c r="I176" s="26"/>
      <c r="J176" s="26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26"/>
      <c r="R176" s="26" t="b">
        <v>1</v>
      </c>
      <c r="S176" s="26"/>
      <c r="T176" s="26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 t="b">
        <v>1</v>
      </c>
      <c r="AC176" s="26"/>
      <c r="AD176" s="26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 t="b">
        <v>1</v>
      </c>
      <c r="AM176" s="26"/>
      <c r="AN176" s="26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 t="b">
        <v>1</v>
      </c>
      <c r="AW176" s="26"/>
      <c r="AX176" s="26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 t="b">
        <v>1</v>
      </c>
      <c r="BG176" s="26"/>
      <c r="BH176" s="26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6"/>
      <c r="BR176" s="26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6"/>
      <c r="CB176" s="26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 t="b">
        <v>1</v>
      </c>
      <c r="I177" s="26"/>
      <c r="J177" s="26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26"/>
      <c r="R177" s="26" t="b">
        <v>1</v>
      </c>
      <c r="S177" s="26"/>
      <c r="T177" s="26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 t="b">
        <v>1</v>
      </c>
      <c r="AC177" s="26"/>
      <c r="AD177" s="26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26"/>
      <c r="AL177" s="26" t="b">
        <v>1</v>
      </c>
      <c r="AM177" s="26"/>
      <c r="AN177" s="26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 t="b">
        <v>1</v>
      </c>
      <c r="AW177" s="26"/>
      <c r="AX177" s="26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 t="b">
        <v>1</v>
      </c>
      <c r="BG177" s="26"/>
      <c r="BH177" s="26"/>
      <c r="BI177" s="26"/>
      <c r="BJ177" s="26"/>
      <c r="BK177" s="55"/>
      <c r="BL177" s="26">
        <v>1041</v>
      </c>
      <c r="BM177" s="26" t="s">
        <v>34</v>
      </c>
      <c r="BN177" s="26" t="s">
        <v>35</v>
      </c>
      <c r="BO177" s="26">
        <v>0.16580160499999999</v>
      </c>
      <c r="BP177" s="26" t="b">
        <v>0</v>
      </c>
      <c r="BQ177" s="26">
        <v>0.24139127899999999</v>
      </c>
      <c r="BR177" s="26">
        <v>9.0211929999999996E-2</v>
      </c>
      <c r="BS177" s="26">
        <v>0</v>
      </c>
      <c r="BT177" s="26">
        <v>0</v>
      </c>
      <c r="BU177" s="55">
        <v>0</v>
      </c>
      <c r="BV177" s="26">
        <v>1041</v>
      </c>
      <c r="BW177" s="26" t="s">
        <v>35</v>
      </c>
      <c r="BX177" s="26" t="s">
        <v>36</v>
      </c>
      <c r="BY177" s="26">
        <v>3.1410575490000001</v>
      </c>
      <c r="BZ177" s="26" t="b">
        <v>0</v>
      </c>
      <c r="CA177" s="26">
        <v>5.0905809919999996</v>
      </c>
      <c r="CB177" s="26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 t="b">
        <v>1</v>
      </c>
      <c r="I178" s="26"/>
      <c r="J178" s="26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26"/>
      <c r="R178" s="26" t="b">
        <v>1</v>
      </c>
      <c r="S178" s="26"/>
      <c r="T178" s="26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 t="b">
        <v>1</v>
      </c>
      <c r="AC178" s="26"/>
      <c r="AD178" s="26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26"/>
      <c r="AL178" s="26" t="b">
        <v>1</v>
      </c>
      <c r="AM178" s="26"/>
      <c r="AN178" s="26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 t="b">
        <v>1</v>
      </c>
      <c r="AW178" s="26"/>
      <c r="AX178" s="26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 t="b">
        <v>1</v>
      </c>
      <c r="BG178" s="26"/>
      <c r="BH178" s="26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6"/>
      <c r="BR178" s="26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6"/>
      <c r="CB178" s="26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 t="b">
        <v>1</v>
      </c>
      <c r="I179" s="26"/>
      <c r="J179" s="26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26"/>
      <c r="R179" s="26" t="b">
        <v>1</v>
      </c>
      <c r="S179" s="26"/>
      <c r="T179" s="26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 t="b">
        <v>1</v>
      </c>
      <c r="AC179" s="26"/>
      <c r="AD179" s="26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26"/>
      <c r="AL179" s="26" t="b">
        <v>1</v>
      </c>
      <c r="AM179" s="26"/>
      <c r="AN179" s="26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 t="b">
        <v>1</v>
      </c>
      <c r="AW179" s="26"/>
      <c r="AX179" s="26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 t="b">
        <v>1</v>
      </c>
      <c r="BG179" s="26"/>
      <c r="BH179" s="26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6"/>
      <c r="BR179" s="26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6"/>
      <c r="CB179" s="26"/>
      <c r="CC179" s="26"/>
      <c r="CD179" s="26"/>
      <c r="CE179" s="26"/>
    </row>
    <row r="180" spans="1:83" x14ac:dyDescent="0.25">
      <c r="A180" s="26">
        <v>1044</v>
      </c>
      <c r="B180" s="26">
        <v>22.6</v>
      </c>
      <c r="C180" s="26">
        <v>1044</v>
      </c>
      <c r="D180" s="78" t="s">
        <v>28</v>
      </c>
      <c r="E180" s="26" t="s">
        <v>29</v>
      </c>
      <c r="F180" s="26">
        <v>0.26616946000000002</v>
      </c>
      <c r="G180" s="26"/>
      <c r="H180" s="26" t="b">
        <v>1</v>
      </c>
      <c r="I180" s="26">
        <v>0.59320864100000004</v>
      </c>
      <c r="J180" s="26">
        <v>0</v>
      </c>
      <c r="K180" s="26">
        <v>5.2522910000000001E-3</v>
      </c>
      <c r="L180" s="26">
        <v>0.53366454799999996</v>
      </c>
      <c r="M180" s="55">
        <v>2.2753214000000001E-2</v>
      </c>
      <c r="N180" s="78">
        <v>1044</v>
      </c>
      <c r="O180" s="26" t="s">
        <v>29</v>
      </c>
      <c r="P180" s="26" t="s">
        <v>30</v>
      </c>
      <c r="Q180" s="26">
        <v>0.166269109</v>
      </c>
      <c r="R180" s="26" t="b">
        <v>1</v>
      </c>
      <c r="S180" s="26">
        <v>0.56557110399999999</v>
      </c>
      <c r="T180" s="26">
        <v>0</v>
      </c>
      <c r="U180" s="26">
        <v>4.8592334000000001E-2</v>
      </c>
      <c r="V180" s="26">
        <v>0.94061268200000003</v>
      </c>
      <c r="W180" s="55">
        <v>0.21050466300000001</v>
      </c>
      <c r="X180" s="26">
        <v>1044</v>
      </c>
      <c r="Y180" s="26" t="s">
        <v>30</v>
      </c>
      <c r="Z180" s="26" t="s">
        <v>31</v>
      </c>
      <c r="AA180" s="26">
        <v>4.6999462999999998E-2</v>
      </c>
      <c r="AB180" s="26" t="b">
        <v>0</v>
      </c>
      <c r="AC180" s="26">
        <v>0.23066373100000001</v>
      </c>
      <c r="AD180" s="26">
        <v>0</v>
      </c>
      <c r="AE180" s="26">
        <v>0</v>
      </c>
      <c r="AF180" s="26">
        <v>0</v>
      </c>
      <c r="AG180" s="26">
        <v>0</v>
      </c>
      <c r="AH180" s="78">
        <v>1044</v>
      </c>
      <c r="AI180" s="26" t="s">
        <v>31</v>
      </c>
      <c r="AJ180" s="26" t="s">
        <v>32</v>
      </c>
      <c r="AK180" s="26">
        <v>0.39629626800000001</v>
      </c>
      <c r="AL180" s="26" t="b">
        <v>0</v>
      </c>
      <c r="AM180" s="26">
        <v>0.59120289100000001</v>
      </c>
      <c r="AN180" s="26">
        <v>0.20138964500000001</v>
      </c>
      <c r="AO180" s="26">
        <v>0</v>
      </c>
      <c r="AP180" s="26">
        <v>0</v>
      </c>
      <c r="AQ180" s="55">
        <v>0</v>
      </c>
      <c r="AR180" s="26">
        <v>1044</v>
      </c>
      <c r="AS180" s="26" t="s">
        <v>32</v>
      </c>
      <c r="AT180" s="26" t="s">
        <v>33</v>
      </c>
      <c r="AU180" s="26">
        <v>0.80628449499999999</v>
      </c>
      <c r="AV180" s="26" t="b">
        <v>0</v>
      </c>
      <c r="AW180" s="26">
        <v>1.025554949</v>
      </c>
      <c r="AX180" s="26">
        <v>0.58701404099999999</v>
      </c>
      <c r="AY180" s="26">
        <v>0</v>
      </c>
      <c r="AZ180" s="26">
        <v>0</v>
      </c>
      <c r="BA180" s="55">
        <v>0</v>
      </c>
      <c r="BB180" s="78">
        <v>1044</v>
      </c>
      <c r="BC180" s="26" t="s">
        <v>33</v>
      </c>
      <c r="BD180" s="26" t="s">
        <v>34</v>
      </c>
      <c r="BE180" s="26"/>
      <c r="BF180" s="26" t="b">
        <v>1</v>
      </c>
      <c r="BG180" s="26"/>
      <c r="BH180" s="26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6"/>
      <c r="BR180" s="26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6"/>
      <c r="CB180" s="26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 t="b">
        <v>1</v>
      </c>
      <c r="I181" s="26"/>
      <c r="J181" s="26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26"/>
      <c r="R181" s="26" t="b">
        <v>1</v>
      </c>
      <c r="S181" s="26"/>
      <c r="T181" s="26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 t="b">
        <v>1</v>
      </c>
      <c r="AC181" s="26"/>
      <c r="AD181" s="26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26"/>
      <c r="AL181" s="26" t="b">
        <v>1</v>
      </c>
      <c r="AM181" s="26"/>
      <c r="AN181" s="26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26"/>
      <c r="AV181" s="26" t="b">
        <v>1</v>
      </c>
      <c r="AW181" s="26"/>
      <c r="AX181" s="26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 t="b">
        <v>1</v>
      </c>
      <c r="BG181" s="26"/>
      <c r="BH181" s="26"/>
      <c r="BI181" s="26"/>
      <c r="BJ181" s="26"/>
      <c r="BK181" s="55"/>
      <c r="BL181" s="26">
        <v>1045</v>
      </c>
      <c r="BM181" s="26" t="s">
        <v>34</v>
      </c>
      <c r="BN181" s="26" t="s">
        <v>35</v>
      </c>
      <c r="BO181" s="26">
        <v>0.450964119</v>
      </c>
      <c r="BP181" s="26" t="b">
        <v>0</v>
      </c>
      <c r="BQ181" s="26">
        <v>0.53615397799999998</v>
      </c>
      <c r="BR181" s="26">
        <v>0.36577426000000002</v>
      </c>
      <c r="BS181" s="26">
        <v>0</v>
      </c>
      <c r="BT181" s="26">
        <v>0</v>
      </c>
      <c r="BU181" s="55">
        <v>0</v>
      </c>
      <c r="BV181" s="26">
        <v>1045</v>
      </c>
      <c r="BW181" s="26" t="s">
        <v>35</v>
      </c>
      <c r="BX181" s="26" t="s">
        <v>36</v>
      </c>
      <c r="BY181" s="26">
        <v>3.0236977070000002</v>
      </c>
      <c r="BZ181" s="26" t="b">
        <v>0</v>
      </c>
      <c r="CA181" s="26">
        <v>5.2424882909999999</v>
      </c>
      <c r="CB181" s="26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 t="b">
        <v>1</v>
      </c>
      <c r="I182" s="26"/>
      <c r="J182" s="26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26"/>
      <c r="R182" s="26" t="b">
        <v>1</v>
      </c>
      <c r="S182" s="26"/>
      <c r="T182" s="26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 t="b">
        <v>1</v>
      </c>
      <c r="AC182" s="26"/>
      <c r="AD182" s="26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26"/>
      <c r="AL182" s="26" t="b">
        <v>1</v>
      </c>
      <c r="AM182" s="26"/>
      <c r="AN182" s="26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26"/>
      <c r="AV182" s="26" t="b">
        <v>1</v>
      </c>
      <c r="AW182" s="26"/>
      <c r="AX182" s="26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 t="b">
        <v>1</v>
      </c>
      <c r="BG182" s="26"/>
      <c r="BH182" s="26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6"/>
      <c r="BR182" s="26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6"/>
      <c r="CB182" s="26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 t="b">
        <v>1</v>
      </c>
      <c r="I183" s="26"/>
      <c r="J183" s="26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26"/>
      <c r="R183" s="26" t="b">
        <v>1</v>
      </c>
      <c r="S183" s="26"/>
      <c r="T183" s="26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 t="b">
        <v>1</v>
      </c>
      <c r="AC183" s="26"/>
      <c r="AD183" s="26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26"/>
      <c r="AL183" s="26" t="b">
        <v>1</v>
      </c>
      <c r="AM183" s="26"/>
      <c r="AN183" s="26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26"/>
      <c r="AV183" s="26" t="b">
        <v>1</v>
      </c>
      <c r="AW183" s="26"/>
      <c r="AX183" s="26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 t="b">
        <v>1</v>
      </c>
      <c r="BG183" s="26"/>
      <c r="BH183" s="26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6"/>
      <c r="BR183" s="26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6"/>
      <c r="CB183" s="26"/>
      <c r="CC183" s="26"/>
      <c r="CD183" s="26"/>
      <c r="CE183" s="26"/>
    </row>
    <row r="184" spans="1:83" x14ac:dyDescent="0.25">
      <c r="A184" s="26">
        <v>1048</v>
      </c>
      <c r="B184" s="26">
        <v>22.6</v>
      </c>
      <c r="C184" s="26">
        <v>1048</v>
      </c>
      <c r="D184" s="78" t="s">
        <v>28</v>
      </c>
      <c r="E184" s="26" t="s">
        <v>29</v>
      </c>
      <c r="F184" s="26">
        <v>6.6355239999999996E-2</v>
      </c>
      <c r="G184" s="26"/>
      <c r="H184" s="26" t="b">
        <v>1</v>
      </c>
      <c r="I184" s="26">
        <v>0.151078775</v>
      </c>
      <c r="J184" s="26">
        <v>0</v>
      </c>
      <c r="K184" s="26">
        <v>5.9932400000000004E-4</v>
      </c>
      <c r="L184" s="26">
        <v>0.262452982</v>
      </c>
      <c r="M184" s="55">
        <v>5.7175980000000001E-2</v>
      </c>
      <c r="N184" s="78">
        <v>1048</v>
      </c>
      <c r="O184" s="26" t="s">
        <v>29</v>
      </c>
      <c r="P184" s="26" t="s">
        <v>30</v>
      </c>
      <c r="Q184" s="26">
        <v>9.1083813999999999E-2</v>
      </c>
      <c r="R184" s="26" t="b">
        <v>0</v>
      </c>
      <c r="S184" s="26">
        <v>0.142530359</v>
      </c>
      <c r="T184" s="26">
        <v>3.9637269000000003E-2</v>
      </c>
      <c r="U184" s="26">
        <v>0</v>
      </c>
      <c r="V184" s="26">
        <v>0</v>
      </c>
      <c r="W184" s="55">
        <v>0</v>
      </c>
      <c r="X184" s="26">
        <v>1048</v>
      </c>
      <c r="Y184" s="26" t="s">
        <v>30</v>
      </c>
      <c r="Z184" s="26" t="s">
        <v>31</v>
      </c>
      <c r="AA184" s="26">
        <v>3.9887768999999997E-2</v>
      </c>
      <c r="AB184" s="26" t="b">
        <v>1</v>
      </c>
      <c r="AC184" s="26">
        <v>0.11704460799999999</v>
      </c>
      <c r="AD184" s="26">
        <v>0</v>
      </c>
      <c r="AE184" s="26">
        <v>1.4668470000000001E-3</v>
      </c>
      <c r="AF184" s="26">
        <v>0.77875786999999996</v>
      </c>
      <c r="AG184" s="26">
        <v>0.16830350599999999</v>
      </c>
      <c r="AH184" s="78">
        <v>1048</v>
      </c>
      <c r="AI184" s="26" t="s">
        <v>31</v>
      </c>
      <c r="AJ184" s="26" t="s">
        <v>32</v>
      </c>
      <c r="AK184" s="26">
        <v>8.5666295000000003E-2</v>
      </c>
      <c r="AL184" s="26" t="b">
        <v>1</v>
      </c>
      <c r="AM184" s="26">
        <v>0.17387993900000001</v>
      </c>
      <c r="AN184" s="26">
        <v>0</v>
      </c>
      <c r="AO184" s="28">
        <v>3.5099999999999999E-5</v>
      </c>
      <c r="AP184" s="26">
        <v>8.853886E-3</v>
      </c>
      <c r="AQ184" s="55">
        <v>4.0317479999999999E-3</v>
      </c>
      <c r="AR184" s="26">
        <v>1048</v>
      </c>
      <c r="AS184" s="26" t="s">
        <v>32</v>
      </c>
      <c r="AT184" s="26" t="s">
        <v>33</v>
      </c>
      <c r="AU184" s="26">
        <v>2.5032771999999998E-2</v>
      </c>
      <c r="AV184" s="26" t="b">
        <v>0</v>
      </c>
      <c r="AW184" s="26">
        <v>0.22125407599999999</v>
      </c>
      <c r="AX184" s="26">
        <v>0</v>
      </c>
      <c r="AY184" s="26">
        <v>0</v>
      </c>
      <c r="AZ184" s="26">
        <v>0</v>
      </c>
      <c r="BA184" s="55">
        <v>0</v>
      </c>
      <c r="BB184" s="78">
        <v>1048</v>
      </c>
      <c r="BC184" s="26" t="s">
        <v>33</v>
      </c>
      <c r="BD184" s="26" t="s">
        <v>34</v>
      </c>
      <c r="BE184" s="26"/>
      <c r="BF184" s="26" t="b">
        <v>1</v>
      </c>
      <c r="BG184" s="26"/>
      <c r="BH184" s="26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6"/>
      <c r="BR184" s="26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6"/>
      <c r="CB184" s="26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 t="b">
        <v>1</v>
      </c>
      <c r="I185" s="26"/>
      <c r="J185" s="26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26"/>
      <c r="R185" s="26" t="b">
        <v>1</v>
      </c>
      <c r="S185" s="26"/>
      <c r="T185" s="26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 t="b">
        <v>1</v>
      </c>
      <c r="AC185" s="26"/>
      <c r="AD185" s="26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26"/>
      <c r="AL185" s="26" t="b">
        <v>1</v>
      </c>
      <c r="AM185" s="26"/>
      <c r="AN185" s="26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26"/>
      <c r="AV185" s="26" t="b">
        <v>1</v>
      </c>
      <c r="AW185" s="26"/>
      <c r="AX185" s="26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 t="b">
        <v>1</v>
      </c>
      <c r="BG185" s="26"/>
      <c r="BH185" s="26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6"/>
      <c r="BR185" s="26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6"/>
      <c r="CB185" s="26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 t="b">
        <v>1</v>
      </c>
      <c r="I186" s="26"/>
      <c r="J186" s="26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26"/>
      <c r="R186" s="26" t="b">
        <v>1</v>
      </c>
      <c r="S186" s="26"/>
      <c r="T186" s="26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 t="b">
        <v>1</v>
      </c>
      <c r="AC186" s="26"/>
      <c r="AD186" s="26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26"/>
      <c r="AL186" s="26" t="b">
        <v>1</v>
      </c>
      <c r="AM186" s="26"/>
      <c r="AN186" s="26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26"/>
      <c r="AV186" s="26" t="b">
        <v>1</v>
      </c>
      <c r="AW186" s="26"/>
      <c r="AX186" s="26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 t="b">
        <v>1</v>
      </c>
      <c r="BG186" s="26"/>
      <c r="BH186" s="26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6"/>
      <c r="BR186" s="26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6"/>
      <c r="CB186" s="26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 t="b">
        <v>1</v>
      </c>
      <c r="I187" s="26"/>
      <c r="J187" s="26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26"/>
      <c r="R187" s="26" t="b">
        <v>1</v>
      </c>
      <c r="S187" s="26"/>
      <c r="T187" s="26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 t="b">
        <v>1</v>
      </c>
      <c r="AC187" s="26"/>
      <c r="AD187" s="26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26"/>
      <c r="AL187" s="26" t="b">
        <v>1</v>
      </c>
      <c r="AM187" s="26"/>
      <c r="AN187" s="26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26"/>
      <c r="AV187" s="26" t="b">
        <v>1</v>
      </c>
      <c r="AW187" s="26"/>
      <c r="AX187" s="26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 t="b">
        <v>1</v>
      </c>
      <c r="BG187" s="26"/>
      <c r="BH187" s="26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6"/>
      <c r="BR187" s="26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6"/>
      <c r="CB187" s="26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 t="b">
        <v>1</v>
      </c>
      <c r="I188" s="26"/>
      <c r="J188" s="26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26"/>
      <c r="R188" s="26" t="b">
        <v>1</v>
      </c>
      <c r="S188" s="26"/>
      <c r="T188" s="26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 t="b">
        <v>1</v>
      </c>
      <c r="AC188" s="26"/>
      <c r="AD188" s="26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26"/>
      <c r="AL188" s="26" t="b">
        <v>1</v>
      </c>
      <c r="AM188" s="26"/>
      <c r="AN188" s="26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26"/>
      <c r="AV188" s="26" t="b">
        <v>1</v>
      </c>
      <c r="AW188" s="26"/>
      <c r="AX188" s="26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 t="b">
        <v>1</v>
      </c>
      <c r="BG188" s="26"/>
      <c r="BH188" s="26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6"/>
      <c r="BR188" s="26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6"/>
      <c r="CB188" s="26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 t="b">
        <v>1</v>
      </c>
      <c r="I189" s="26"/>
      <c r="J189" s="26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26"/>
      <c r="R189" s="26" t="b">
        <v>1</v>
      </c>
      <c r="S189" s="26"/>
      <c r="T189" s="26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 t="b">
        <v>1</v>
      </c>
      <c r="AC189" s="26"/>
      <c r="AD189" s="26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26"/>
      <c r="AL189" s="26" t="b">
        <v>1</v>
      </c>
      <c r="AM189" s="26"/>
      <c r="AN189" s="26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26"/>
      <c r="AV189" s="26" t="b">
        <v>1</v>
      </c>
      <c r="AW189" s="26"/>
      <c r="AX189" s="26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 t="b">
        <v>1</v>
      </c>
      <c r="BG189" s="26"/>
      <c r="BH189" s="26"/>
      <c r="BI189" s="26"/>
      <c r="BJ189" s="26"/>
      <c r="BK189" s="55"/>
      <c r="BL189" s="26">
        <v>1053</v>
      </c>
      <c r="BM189" s="26" t="s">
        <v>34</v>
      </c>
      <c r="BN189" s="26" t="s">
        <v>35</v>
      </c>
      <c r="BO189" s="26">
        <v>7.4355910999999997E-2</v>
      </c>
      <c r="BP189" s="26" t="b">
        <v>0</v>
      </c>
      <c r="BQ189" s="26">
        <v>0.79401118999999998</v>
      </c>
      <c r="BR189" s="26">
        <v>0</v>
      </c>
      <c r="BS189" s="26">
        <v>0</v>
      </c>
      <c r="BT189" s="26">
        <v>0</v>
      </c>
      <c r="BU189" s="55">
        <v>0</v>
      </c>
      <c r="BV189" s="26">
        <v>1053</v>
      </c>
      <c r="BW189" s="26" t="s">
        <v>35</v>
      </c>
      <c r="BX189" s="26" t="s">
        <v>36</v>
      </c>
      <c r="BY189" s="26">
        <v>0.48365147800000002</v>
      </c>
      <c r="BZ189" s="26" t="b">
        <v>1</v>
      </c>
      <c r="CA189" s="26">
        <v>1.2545740510000001</v>
      </c>
      <c r="CB189" s="26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 t="b">
        <v>1</v>
      </c>
      <c r="I190" s="26"/>
      <c r="J190" s="26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26"/>
      <c r="R190" s="26" t="b">
        <v>1</v>
      </c>
      <c r="S190" s="26"/>
      <c r="T190" s="26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 t="b">
        <v>1</v>
      </c>
      <c r="AC190" s="26"/>
      <c r="AD190" s="26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26"/>
      <c r="AL190" s="26" t="b">
        <v>1</v>
      </c>
      <c r="AM190" s="26"/>
      <c r="AN190" s="26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26"/>
      <c r="AV190" s="26" t="b">
        <v>1</v>
      </c>
      <c r="AW190" s="26"/>
      <c r="AX190" s="26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 t="b">
        <v>1</v>
      </c>
      <c r="BG190" s="26"/>
      <c r="BH190" s="26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6"/>
      <c r="BR190" s="26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6"/>
      <c r="CB190" s="26"/>
      <c r="CC190" s="26"/>
      <c r="CD190" s="26"/>
      <c r="CE190" s="26"/>
    </row>
    <row r="191" spans="1:83" x14ac:dyDescent="0.25">
      <c r="A191" s="26">
        <v>1055</v>
      </c>
      <c r="B191" s="26">
        <v>22.6</v>
      </c>
      <c r="C191" s="26">
        <v>1055</v>
      </c>
      <c r="D191" s="78" t="s">
        <v>28</v>
      </c>
      <c r="E191" s="26" t="s">
        <v>29</v>
      </c>
      <c r="F191" s="26">
        <v>0.126834422</v>
      </c>
      <c r="G191" s="26"/>
      <c r="H191" s="26" t="b">
        <v>1</v>
      </c>
      <c r="I191" s="26">
        <v>0.41346148700000002</v>
      </c>
      <c r="J191" s="26">
        <v>0</v>
      </c>
      <c r="K191" s="26">
        <v>2.8684879E-2</v>
      </c>
      <c r="L191" s="26">
        <v>0.59614846300000002</v>
      </c>
      <c r="M191" s="55">
        <v>0.344213249</v>
      </c>
      <c r="N191" s="78">
        <v>1055</v>
      </c>
      <c r="O191" s="26" t="s">
        <v>29</v>
      </c>
      <c r="P191" s="26" t="s">
        <v>30</v>
      </c>
      <c r="Q191" s="26">
        <v>0.246706072</v>
      </c>
      <c r="R191" s="26" t="b">
        <v>0</v>
      </c>
      <c r="S191" s="26">
        <v>0.44827909300000002</v>
      </c>
      <c r="T191" s="26">
        <v>4.5133050000000001E-2</v>
      </c>
      <c r="U191" s="26">
        <v>0</v>
      </c>
      <c r="V191" s="26">
        <v>0</v>
      </c>
      <c r="W191" s="55">
        <v>0</v>
      </c>
      <c r="X191" s="26">
        <v>1055</v>
      </c>
      <c r="Y191" s="26" t="s">
        <v>30</v>
      </c>
      <c r="Z191" s="26" t="s">
        <v>31</v>
      </c>
      <c r="AA191" s="26">
        <v>0.20536616299999999</v>
      </c>
      <c r="AB191" s="26" t="b">
        <v>1</v>
      </c>
      <c r="AC191" s="26">
        <v>0.52604539900000002</v>
      </c>
      <c r="AD191" s="26">
        <v>0</v>
      </c>
      <c r="AE191" s="26">
        <v>1.4618624E-2</v>
      </c>
      <c r="AF191" s="26">
        <v>0.76848108299999995</v>
      </c>
      <c r="AG191" s="26">
        <v>7.8891185000000003E-2</v>
      </c>
      <c r="AH191" s="78">
        <v>1055</v>
      </c>
      <c r="AI191" s="26" t="s">
        <v>31</v>
      </c>
      <c r="AJ191" s="26" t="s">
        <v>32</v>
      </c>
      <c r="AK191" s="26">
        <v>0.105653634</v>
      </c>
      <c r="AL191" s="26" t="b">
        <v>0</v>
      </c>
      <c r="AM191" s="26">
        <v>0.35983373000000002</v>
      </c>
      <c r="AN191" s="26">
        <v>0</v>
      </c>
      <c r="AO191" s="26">
        <v>0</v>
      </c>
      <c r="AP191" s="26">
        <v>0</v>
      </c>
      <c r="AQ191" s="55">
        <v>0</v>
      </c>
      <c r="AR191" s="26">
        <v>1055</v>
      </c>
      <c r="AS191" s="26" t="s">
        <v>32</v>
      </c>
      <c r="AT191" s="26" t="s">
        <v>33</v>
      </c>
      <c r="AU191" s="26">
        <v>0.15704937799999999</v>
      </c>
      <c r="AV191" s="26" t="b">
        <v>0</v>
      </c>
      <c r="AW191" s="26">
        <v>0.24114259699999999</v>
      </c>
      <c r="AX191" s="26">
        <v>7.2956160000000006E-2</v>
      </c>
      <c r="AY191" s="26">
        <v>0</v>
      </c>
      <c r="AZ191" s="26">
        <v>0</v>
      </c>
      <c r="BA191" s="55">
        <v>0</v>
      </c>
      <c r="BB191" s="78">
        <v>1055</v>
      </c>
      <c r="BC191" s="26" t="s">
        <v>33</v>
      </c>
      <c r="BD191" s="26" t="s">
        <v>34</v>
      </c>
      <c r="BE191" s="26"/>
      <c r="BF191" s="26" t="b">
        <v>1</v>
      </c>
      <c r="BG191" s="26"/>
      <c r="BH191" s="26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6"/>
      <c r="BR191" s="26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6"/>
      <c r="CB191" s="26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 t="b">
        <v>1</v>
      </c>
      <c r="I192" s="26"/>
      <c r="J192" s="26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26"/>
      <c r="R192" s="26" t="b">
        <v>1</v>
      </c>
      <c r="S192" s="26"/>
      <c r="T192" s="26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 t="b">
        <v>1</v>
      </c>
      <c r="AC192" s="26"/>
      <c r="AD192" s="26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26"/>
      <c r="AL192" s="26" t="b">
        <v>1</v>
      </c>
      <c r="AM192" s="26"/>
      <c r="AN192" s="26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26"/>
      <c r="AV192" s="26" t="b">
        <v>1</v>
      </c>
      <c r="AW192" s="26"/>
      <c r="AX192" s="26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 t="b">
        <v>1</v>
      </c>
      <c r="BG192" s="26"/>
      <c r="BH192" s="26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6"/>
      <c r="BR192" s="26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6"/>
      <c r="CB192" s="26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 t="b">
        <v>1</v>
      </c>
      <c r="I193" s="26"/>
      <c r="J193" s="26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26"/>
      <c r="R193" s="26" t="b">
        <v>1</v>
      </c>
      <c r="S193" s="26"/>
      <c r="T193" s="26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 t="b">
        <v>1</v>
      </c>
      <c r="AC193" s="26"/>
      <c r="AD193" s="26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26"/>
      <c r="AL193" s="26" t="b">
        <v>1</v>
      </c>
      <c r="AM193" s="26"/>
      <c r="AN193" s="26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26"/>
      <c r="AV193" s="26" t="b">
        <v>1</v>
      </c>
      <c r="AW193" s="26"/>
      <c r="AX193" s="26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 t="b">
        <v>1</v>
      </c>
      <c r="BG193" s="26"/>
      <c r="BH193" s="26"/>
      <c r="BI193" s="26"/>
      <c r="BJ193" s="26"/>
      <c r="BK193" s="55"/>
      <c r="BL193" s="26">
        <v>1057</v>
      </c>
      <c r="BM193" s="26" t="s">
        <v>34</v>
      </c>
      <c r="BN193" s="26" t="s">
        <v>35</v>
      </c>
      <c r="BO193" s="26">
        <v>2.7212523999999998E-2</v>
      </c>
      <c r="BP193" s="26" t="b">
        <v>0</v>
      </c>
      <c r="BQ193" s="26">
        <v>0.175390025</v>
      </c>
      <c r="BR193" s="26">
        <v>0</v>
      </c>
      <c r="BS193" s="26">
        <v>0</v>
      </c>
      <c r="BT193" s="26">
        <v>0</v>
      </c>
      <c r="BU193" s="55">
        <v>0</v>
      </c>
      <c r="BV193" s="26">
        <v>1057</v>
      </c>
      <c r="BW193" s="26" t="s">
        <v>35</v>
      </c>
      <c r="BX193" s="26" t="s">
        <v>36</v>
      </c>
      <c r="BY193" s="26"/>
      <c r="BZ193" s="26" t="b">
        <v>1</v>
      </c>
      <c r="CA193" s="26"/>
      <c r="CB193" s="26"/>
      <c r="CC193" s="26"/>
      <c r="CD193" s="26"/>
      <c r="CE193" s="26"/>
    </row>
    <row r="194" spans="1:83" x14ac:dyDescent="0.25">
      <c r="A194" s="26">
        <v>1058</v>
      </c>
      <c r="B194" s="26">
        <v>22.6</v>
      </c>
      <c r="C194" s="26">
        <v>1058</v>
      </c>
      <c r="D194" s="78" t="s">
        <v>28</v>
      </c>
      <c r="E194" s="26" t="s">
        <v>29</v>
      </c>
      <c r="F194" s="26">
        <v>4.7227722E-2</v>
      </c>
      <c r="G194" s="26"/>
      <c r="H194" s="26" t="b">
        <v>1</v>
      </c>
      <c r="I194" s="26">
        <v>0.11683247300000001</v>
      </c>
      <c r="J194" s="26">
        <v>0</v>
      </c>
      <c r="K194" s="26">
        <v>7.5569000000000005E-4</v>
      </c>
      <c r="L194" s="26">
        <v>0.34012590599999998</v>
      </c>
      <c r="M194" s="55">
        <v>0.130026474</v>
      </c>
      <c r="N194" s="78">
        <v>1058</v>
      </c>
      <c r="O194" s="26" t="s">
        <v>29</v>
      </c>
      <c r="P194" s="26" t="s">
        <v>30</v>
      </c>
      <c r="Q194" s="26"/>
      <c r="R194" s="26" t="b">
        <v>1</v>
      </c>
      <c r="S194" s="26"/>
      <c r="T194" s="26"/>
      <c r="U194" s="26"/>
      <c r="V194" s="26"/>
      <c r="W194" s="55"/>
      <c r="X194" s="26">
        <v>1058</v>
      </c>
      <c r="Y194" s="26" t="s">
        <v>30</v>
      </c>
      <c r="Z194" s="26" t="s">
        <v>31</v>
      </c>
      <c r="AA194" s="26"/>
      <c r="AB194" s="26" t="b">
        <v>1</v>
      </c>
      <c r="AC194" s="26"/>
      <c r="AD194" s="26"/>
      <c r="AE194" s="26"/>
      <c r="AF194" s="26"/>
      <c r="AG194" s="26"/>
      <c r="AH194" s="78">
        <v>1058</v>
      </c>
      <c r="AI194" s="26" t="s">
        <v>31</v>
      </c>
      <c r="AJ194" s="26" t="s">
        <v>32</v>
      </c>
      <c r="AK194" s="26">
        <v>5.1548135000000002E-2</v>
      </c>
      <c r="AL194" s="26" t="b">
        <v>1</v>
      </c>
      <c r="AM194" s="26">
        <v>0.13529366700000001</v>
      </c>
      <c r="AN194" s="26">
        <v>0</v>
      </c>
      <c r="AO194" s="26">
        <v>1.385035E-3</v>
      </c>
      <c r="AP194" s="26">
        <v>0.46876690700000001</v>
      </c>
      <c r="AQ194" s="55">
        <v>0.15648747599999999</v>
      </c>
      <c r="AR194" s="26">
        <v>1058</v>
      </c>
      <c r="AS194" s="26" t="s">
        <v>32</v>
      </c>
      <c r="AT194" s="26" t="s">
        <v>33</v>
      </c>
      <c r="AU194" s="26"/>
      <c r="AV194" s="26" t="b">
        <v>1</v>
      </c>
      <c r="AW194" s="26"/>
      <c r="AX194" s="26"/>
      <c r="AY194" s="26"/>
      <c r="AZ194" s="26"/>
      <c r="BA194" s="55"/>
      <c r="BB194" s="78">
        <v>1058</v>
      </c>
      <c r="BC194" s="26" t="s">
        <v>33</v>
      </c>
      <c r="BD194" s="26" t="s">
        <v>34</v>
      </c>
      <c r="BE194" s="26"/>
      <c r="BF194" s="26" t="b">
        <v>1</v>
      </c>
      <c r="BG194" s="26"/>
      <c r="BH194" s="26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6"/>
      <c r="BR194" s="26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6"/>
      <c r="CB194" s="26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 t="b">
        <v>1</v>
      </c>
      <c r="I195" s="26"/>
      <c r="J195" s="26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26"/>
      <c r="R195" s="26" t="b">
        <v>1</v>
      </c>
      <c r="S195" s="26"/>
      <c r="T195" s="26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 t="b">
        <v>1</v>
      </c>
      <c r="AC195" s="26"/>
      <c r="AD195" s="26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26"/>
      <c r="AL195" s="26" t="b">
        <v>1</v>
      </c>
      <c r="AM195" s="26"/>
      <c r="AN195" s="26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26"/>
      <c r="AV195" s="26" t="b">
        <v>1</v>
      </c>
      <c r="AW195" s="26"/>
      <c r="AX195" s="26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 t="b">
        <v>1</v>
      </c>
      <c r="BG195" s="26"/>
      <c r="BH195" s="26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6"/>
      <c r="BR195" s="26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6"/>
      <c r="CB195" s="26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 t="b">
        <v>1</v>
      </c>
      <c r="I196" s="26"/>
      <c r="J196" s="26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26"/>
      <c r="R196" s="26" t="b">
        <v>1</v>
      </c>
      <c r="S196" s="26"/>
      <c r="T196" s="26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 t="b">
        <v>1</v>
      </c>
      <c r="AC196" s="26"/>
      <c r="AD196" s="26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26"/>
      <c r="AL196" s="26" t="b">
        <v>1</v>
      </c>
      <c r="AM196" s="26"/>
      <c r="AN196" s="26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26"/>
      <c r="AV196" s="26" t="b">
        <v>1</v>
      </c>
      <c r="AW196" s="26"/>
      <c r="AX196" s="26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 t="b">
        <v>1</v>
      </c>
      <c r="BG196" s="26"/>
      <c r="BH196" s="26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6"/>
      <c r="BR196" s="26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6"/>
      <c r="CB196" s="26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 t="b">
        <v>1</v>
      </c>
      <c r="I197" s="26"/>
      <c r="J197" s="26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26"/>
      <c r="R197" s="26" t="b">
        <v>1</v>
      </c>
      <c r="S197" s="26"/>
      <c r="T197" s="26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 t="b">
        <v>1</v>
      </c>
      <c r="AC197" s="26"/>
      <c r="AD197" s="26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26"/>
      <c r="AL197" s="26" t="b">
        <v>1</v>
      </c>
      <c r="AM197" s="26"/>
      <c r="AN197" s="26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26"/>
      <c r="AV197" s="26" t="b">
        <v>1</v>
      </c>
      <c r="AW197" s="26"/>
      <c r="AX197" s="26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 t="b">
        <v>1</v>
      </c>
      <c r="BG197" s="26"/>
      <c r="BH197" s="26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6"/>
      <c r="BR197" s="26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6"/>
      <c r="CB197" s="26"/>
      <c r="CC197" s="26"/>
      <c r="CD197" s="26"/>
      <c r="CE197" s="26"/>
    </row>
    <row r="198" spans="1:83" x14ac:dyDescent="0.25">
      <c r="A198" s="26">
        <v>1062</v>
      </c>
      <c r="B198" s="26">
        <v>22.6</v>
      </c>
      <c r="C198" s="26">
        <v>1062</v>
      </c>
      <c r="D198" s="78" t="s">
        <v>28</v>
      </c>
      <c r="E198" s="26" t="s">
        <v>29</v>
      </c>
      <c r="F198" s="26">
        <v>5.2204591000000002E-2</v>
      </c>
      <c r="G198" s="26"/>
      <c r="H198" s="26" t="b">
        <v>1</v>
      </c>
      <c r="I198" s="26">
        <v>0.201623251</v>
      </c>
      <c r="J198" s="26">
        <v>0</v>
      </c>
      <c r="K198" s="26">
        <v>9.886021E-3</v>
      </c>
      <c r="L198" s="26">
        <v>0.59289799600000004</v>
      </c>
      <c r="M198" s="55">
        <v>0.53678516799999998</v>
      </c>
      <c r="N198" s="78">
        <v>1062</v>
      </c>
      <c r="O198" s="26" t="s">
        <v>29</v>
      </c>
      <c r="P198" s="26" t="s">
        <v>30</v>
      </c>
      <c r="Q198" s="26">
        <v>1.193240635</v>
      </c>
      <c r="R198" s="26" t="b">
        <v>0</v>
      </c>
      <c r="S198" s="26">
        <v>1.3556818909999999</v>
      </c>
      <c r="T198" s="26">
        <v>1.0307993790000001</v>
      </c>
      <c r="U198" s="26">
        <v>0</v>
      </c>
      <c r="V198" s="26">
        <v>0</v>
      </c>
      <c r="W198" s="55">
        <v>0</v>
      </c>
      <c r="X198" s="26">
        <v>1062</v>
      </c>
      <c r="Y198" s="26" t="s">
        <v>30</v>
      </c>
      <c r="Z198" s="26" t="s">
        <v>31</v>
      </c>
      <c r="AA198" s="26">
        <v>1.0871993129999999</v>
      </c>
      <c r="AB198" s="26" t="b">
        <v>0</v>
      </c>
      <c r="AC198" s="26">
        <v>1.2972496</v>
      </c>
      <c r="AD198" s="26">
        <v>0.877149026</v>
      </c>
      <c r="AE198" s="26">
        <v>0</v>
      </c>
      <c r="AF198" s="26">
        <v>0</v>
      </c>
      <c r="AG198" s="26">
        <v>0</v>
      </c>
      <c r="AH198" s="78">
        <v>1062</v>
      </c>
      <c r="AI198" s="26" t="s">
        <v>31</v>
      </c>
      <c r="AJ198" s="26" t="s">
        <v>32</v>
      </c>
      <c r="AK198" s="26">
        <v>3.8972009999999999E-3</v>
      </c>
      <c r="AL198" s="26" t="b">
        <v>0</v>
      </c>
      <c r="AM198" s="26">
        <v>0.19056821099999999</v>
      </c>
      <c r="AN198" s="26">
        <v>0</v>
      </c>
      <c r="AO198" s="26">
        <v>0</v>
      </c>
      <c r="AP198" s="26">
        <v>0</v>
      </c>
      <c r="AQ198" s="55">
        <v>0</v>
      </c>
      <c r="AR198" s="26">
        <v>1062</v>
      </c>
      <c r="AS198" s="26" t="s">
        <v>32</v>
      </c>
      <c r="AT198" s="26" t="s">
        <v>33</v>
      </c>
      <c r="AU198" s="26"/>
      <c r="AV198" s="26" t="b">
        <v>1</v>
      </c>
      <c r="AW198" s="26"/>
      <c r="AX198" s="26"/>
      <c r="AY198" s="26"/>
      <c r="AZ198" s="26"/>
      <c r="BA198" s="55"/>
      <c r="BB198" s="78">
        <v>1062</v>
      </c>
      <c r="BC198" s="26" t="s">
        <v>33</v>
      </c>
      <c r="BD198" s="26" t="s">
        <v>34</v>
      </c>
      <c r="BE198" s="26"/>
      <c r="BF198" s="26" t="b">
        <v>1</v>
      </c>
      <c r="BG198" s="26"/>
      <c r="BH198" s="26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6"/>
      <c r="BR198" s="26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6"/>
      <c r="CB198" s="26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 t="b">
        <v>1</v>
      </c>
      <c r="I199" s="26"/>
      <c r="J199" s="26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26"/>
      <c r="R199" s="26" t="b">
        <v>1</v>
      </c>
      <c r="S199" s="26"/>
      <c r="T199" s="26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 t="b">
        <v>1</v>
      </c>
      <c r="AC199" s="26"/>
      <c r="AD199" s="26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26"/>
      <c r="AL199" s="26" t="b">
        <v>1</v>
      </c>
      <c r="AM199" s="26"/>
      <c r="AN199" s="26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26"/>
      <c r="AV199" s="26" t="b">
        <v>1</v>
      </c>
      <c r="AW199" s="26"/>
      <c r="AX199" s="26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 t="b">
        <v>1</v>
      </c>
      <c r="BG199" s="26"/>
      <c r="BH199" s="26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6"/>
      <c r="BR199" s="26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6"/>
      <c r="CB199" s="26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 t="b">
        <v>1</v>
      </c>
      <c r="I200" s="26"/>
      <c r="J200" s="26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26"/>
      <c r="R200" s="26" t="b">
        <v>1</v>
      </c>
      <c r="S200" s="26"/>
      <c r="T200" s="26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 t="b">
        <v>1</v>
      </c>
      <c r="AC200" s="26"/>
      <c r="AD200" s="26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26"/>
      <c r="AL200" s="26" t="b">
        <v>1</v>
      </c>
      <c r="AM200" s="26"/>
      <c r="AN200" s="26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26"/>
      <c r="AV200" s="26" t="b">
        <v>1</v>
      </c>
      <c r="AW200" s="26"/>
      <c r="AX200" s="26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 t="b">
        <v>1</v>
      </c>
      <c r="BG200" s="26"/>
      <c r="BH200" s="26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6"/>
      <c r="BR200" s="26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6"/>
      <c r="CB200" s="26"/>
      <c r="CC200" s="26"/>
      <c r="CD200" s="26"/>
      <c r="CE200" s="26"/>
    </row>
    <row r="201" spans="1:83" x14ac:dyDescent="0.25">
      <c r="A201" s="26">
        <v>1065</v>
      </c>
      <c r="B201" s="26">
        <v>22.6</v>
      </c>
      <c r="C201" s="26">
        <v>1065</v>
      </c>
      <c r="D201" s="78" t="s">
        <v>28</v>
      </c>
      <c r="E201" s="26" t="s">
        <v>29</v>
      </c>
      <c r="F201" s="26">
        <v>0.200023695</v>
      </c>
      <c r="G201" s="26"/>
      <c r="H201" s="26" t="b">
        <v>1</v>
      </c>
      <c r="I201" s="26">
        <v>0.49083669000000002</v>
      </c>
      <c r="J201" s="26">
        <v>0</v>
      </c>
      <c r="K201" s="26">
        <v>1.1318465999999999E-2</v>
      </c>
      <c r="L201" s="26">
        <v>0.49872454900000002</v>
      </c>
      <c r="M201" s="55">
        <v>8.5048562999999994E-2</v>
      </c>
      <c r="N201" s="78">
        <v>1065</v>
      </c>
      <c r="O201" s="26" t="s">
        <v>29</v>
      </c>
      <c r="P201" s="26" t="s">
        <v>30</v>
      </c>
      <c r="Q201" s="26">
        <v>0.15961191199999999</v>
      </c>
      <c r="R201" s="26" t="b">
        <v>1</v>
      </c>
      <c r="S201" s="26">
        <v>0.53256401799999997</v>
      </c>
      <c r="T201" s="26">
        <v>0</v>
      </c>
      <c r="U201" s="26">
        <v>5.0844448E-2</v>
      </c>
      <c r="V201" s="26">
        <v>0.57938660500000005</v>
      </c>
      <c r="W201" s="55">
        <v>0.38205239899999999</v>
      </c>
      <c r="X201" s="26">
        <v>1065</v>
      </c>
      <c r="Y201" s="26" t="s">
        <v>30</v>
      </c>
      <c r="Z201" s="26" t="s">
        <v>31</v>
      </c>
      <c r="AA201" s="26">
        <v>4.7297611000000003E-2</v>
      </c>
      <c r="AB201" s="26" t="b">
        <v>0</v>
      </c>
      <c r="AC201" s="26">
        <v>0.26778155300000001</v>
      </c>
      <c r="AD201" s="26">
        <v>0</v>
      </c>
      <c r="AE201" s="26">
        <v>0</v>
      </c>
      <c r="AF201" s="26">
        <v>0</v>
      </c>
      <c r="AG201" s="26">
        <v>0</v>
      </c>
      <c r="AH201" s="78">
        <v>1065</v>
      </c>
      <c r="AI201" s="26" t="s">
        <v>31</v>
      </c>
      <c r="AJ201" s="26" t="s">
        <v>32</v>
      </c>
      <c r="AK201" s="26">
        <v>1.7624788999999998E-2</v>
      </c>
      <c r="AL201" s="26" t="b">
        <v>1</v>
      </c>
      <c r="AM201" s="26">
        <v>0.13975404699999999</v>
      </c>
      <c r="AN201" s="26">
        <v>0</v>
      </c>
      <c r="AO201" s="26">
        <v>8.8528949999999995E-3</v>
      </c>
      <c r="AP201" s="26">
        <v>0.99004222500000005</v>
      </c>
      <c r="AQ201" s="55">
        <v>0.59570385400000003</v>
      </c>
      <c r="AR201" s="26">
        <v>1065</v>
      </c>
      <c r="AS201" s="26" t="s">
        <v>32</v>
      </c>
      <c r="AT201" s="26" t="s">
        <v>33</v>
      </c>
      <c r="AU201" s="26">
        <v>0.11381569800000001</v>
      </c>
      <c r="AV201" s="26" t="b">
        <v>0</v>
      </c>
      <c r="AW201" s="26">
        <v>0.38639699</v>
      </c>
      <c r="AX201" s="26">
        <v>0</v>
      </c>
      <c r="AY201" s="26">
        <v>0</v>
      </c>
      <c r="AZ201" s="26">
        <v>0</v>
      </c>
      <c r="BA201" s="55">
        <v>0</v>
      </c>
      <c r="BB201" s="78">
        <v>1065</v>
      </c>
      <c r="BC201" s="26" t="s">
        <v>33</v>
      </c>
      <c r="BD201" s="26" t="s">
        <v>34</v>
      </c>
      <c r="BE201" s="26">
        <v>4.5737660829999998</v>
      </c>
      <c r="BF201" s="26" t="b">
        <v>0</v>
      </c>
      <c r="BG201" s="26">
        <v>4.948907706</v>
      </c>
      <c r="BH201" s="26">
        <v>4.1986244609999996</v>
      </c>
      <c r="BI201" s="26">
        <v>0</v>
      </c>
      <c r="BJ201" s="26">
        <v>0</v>
      </c>
      <c r="BK201" s="55">
        <v>0</v>
      </c>
      <c r="BL201" s="26">
        <v>1065</v>
      </c>
      <c r="BM201" s="26" t="s">
        <v>34</v>
      </c>
      <c r="BN201" s="26" t="s">
        <v>35</v>
      </c>
      <c r="BO201" s="26"/>
      <c r="BP201" s="26" t="b">
        <v>1</v>
      </c>
      <c r="BQ201" s="26"/>
      <c r="BR201" s="26"/>
      <c r="BS201" s="26"/>
      <c r="BT201" s="26"/>
      <c r="BU201" s="55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6"/>
      <c r="CB201" s="26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 t="b">
        <v>1</v>
      </c>
      <c r="I202" s="29"/>
      <c r="J202" s="29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29"/>
      <c r="R202" s="29" t="b">
        <v>1</v>
      </c>
      <c r="S202" s="29"/>
      <c r="T202" s="29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 t="b">
        <v>1</v>
      </c>
      <c r="AC202" s="29"/>
      <c r="AD202" s="29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 t="b">
        <v>1</v>
      </c>
      <c r="AM202" s="29"/>
      <c r="AN202" s="29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 t="b">
        <v>1</v>
      </c>
      <c r="AW202" s="29"/>
      <c r="AX202" s="29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 t="b">
        <v>1</v>
      </c>
      <c r="BG202" s="29"/>
      <c r="BH202" s="29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9"/>
      <c r="BR202" s="29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9"/>
      <c r="CB202" s="29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87">
        <f>AVERAGE(I175:I202)</f>
        <v>0.32784021950000003</v>
      </c>
      <c r="J203" s="87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87">
        <f>AVERAGE(S175:S202)</f>
        <v>0.70875738083333317</v>
      </c>
      <c r="T203" s="87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87">
        <f>AVERAGE(AC175:AC202)</f>
        <v>0.48775697820000002</v>
      </c>
      <c r="AD203" s="87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87">
        <f>AVERAGE(AM175:AM202)</f>
        <v>0.2650887475</v>
      </c>
      <c r="AN203" s="87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87">
        <f>AVERAGE(AW175:AW202)</f>
        <v>0.46858715299999998</v>
      </c>
      <c r="AX203" s="87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87">
        <f>AVERAGE(BG175:BG202)</f>
        <v>4.948907706</v>
      </c>
      <c r="BH203" s="87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87">
        <f>AVERAGE(BQ175:BQ202)</f>
        <v>0.43673661799999997</v>
      </c>
      <c r="BR203" s="87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87">
        <f>AVERAGE(CA175:CA202)</f>
        <v>3.8625477780000002</v>
      </c>
      <c r="CB203" s="87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 t="b">
        <v>1</v>
      </c>
      <c r="I204" s="30"/>
      <c r="J204" s="30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30"/>
      <c r="T204" s="30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 t="b">
        <v>1</v>
      </c>
      <c r="AC204" s="30"/>
      <c r="AD204" s="30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 t="b">
        <v>1</v>
      </c>
      <c r="AM204" s="30"/>
      <c r="AN204" s="30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 t="b">
        <v>1</v>
      </c>
      <c r="AW204" s="30"/>
      <c r="AX204" s="30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 t="b">
        <v>1</v>
      </c>
      <c r="BG204" s="30"/>
      <c r="BH204" s="30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30"/>
      <c r="BR204" s="30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30"/>
      <c r="CB204" s="30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 t="b">
        <v>1</v>
      </c>
      <c r="I205" s="9"/>
      <c r="J205" s="9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9"/>
      <c r="T205" s="9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 t="b">
        <v>1</v>
      </c>
      <c r="AC205" s="9"/>
      <c r="AD205" s="9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 t="b">
        <v>1</v>
      </c>
      <c r="AM205" s="9"/>
      <c r="AN205" s="9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 t="b">
        <v>1</v>
      </c>
      <c r="AW205" s="9"/>
      <c r="AX205" s="9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 t="b">
        <v>1</v>
      </c>
      <c r="BG205" s="9"/>
      <c r="BH205" s="9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9"/>
      <c r="BR205" s="9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9"/>
      <c r="CB205" s="9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 t="b">
        <v>1</v>
      </c>
      <c r="I206" s="9"/>
      <c r="J206" s="9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9"/>
      <c r="T206" s="9"/>
      <c r="U206" s="9"/>
      <c r="V206" s="9"/>
      <c r="W206" s="58"/>
      <c r="X206" s="9">
        <v>1006</v>
      </c>
      <c r="Y206" s="9" t="s">
        <v>30</v>
      </c>
      <c r="Z206" s="9" t="s">
        <v>31</v>
      </c>
      <c r="AA206" s="9">
        <v>5.3431659999999999E-3</v>
      </c>
      <c r="AB206" s="9" t="b">
        <v>0</v>
      </c>
      <c r="AC206" s="9">
        <v>6.3326987000000001E-2</v>
      </c>
      <c r="AD206" s="9">
        <v>0</v>
      </c>
      <c r="AE206" s="9">
        <v>0</v>
      </c>
      <c r="AF206" s="9">
        <v>0</v>
      </c>
      <c r="AG206" s="9">
        <v>0</v>
      </c>
      <c r="AH206" s="81">
        <v>1006</v>
      </c>
      <c r="AI206" s="9" t="s">
        <v>31</v>
      </c>
      <c r="AJ206" s="9" t="s">
        <v>32</v>
      </c>
      <c r="AK206" s="9"/>
      <c r="AL206" s="9" t="b">
        <v>1</v>
      </c>
      <c r="AM206" s="9"/>
      <c r="AN206" s="9"/>
      <c r="AO206" s="9"/>
      <c r="AP206" s="9"/>
      <c r="AQ206" s="58"/>
      <c r="AR206" s="9">
        <v>1006</v>
      </c>
      <c r="AS206" s="9" t="s">
        <v>32</v>
      </c>
      <c r="AT206" s="9" t="s">
        <v>33</v>
      </c>
      <c r="AU206" s="9"/>
      <c r="AV206" s="9" t="b">
        <v>1</v>
      </c>
      <c r="AW206" s="9"/>
      <c r="AX206" s="9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 t="b">
        <v>1</v>
      </c>
      <c r="BG206" s="9"/>
      <c r="BH206" s="9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9"/>
      <c r="BR206" s="9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9"/>
      <c r="CB206" s="9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 t="b">
        <v>1</v>
      </c>
      <c r="I207" s="9"/>
      <c r="J207" s="9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9"/>
      <c r="T207" s="9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 t="b">
        <v>1</v>
      </c>
      <c r="AC207" s="9"/>
      <c r="AD207" s="9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 t="b">
        <v>1</v>
      </c>
      <c r="AM207" s="9"/>
      <c r="AN207" s="9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 t="b">
        <v>1</v>
      </c>
      <c r="AW207" s="9"/>
      <c r="AX207" s="9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 t="b">
        <v>1</v>
      </c>
      <c r="BG207" s="9"/>
      <c r="BH207" s="9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9"/>
      <c r="BR207" s="9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9"/>
      <c r="CB207" s="9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 t="b">
        <v>1</v>
      </c>
      <c r="I208" s="9"/>
      <c r="J208" s="9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9"/>
      <c r="T208" s="9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 t="b">
        <v>1</v>
      </c>
      <c r="AC208" s="9"/>
      <c r="AD208" s="9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 t="b">
        <v>1</v>
      </c>
      <c r="AM208" s="9"/>
      <c r="AN208" s="9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 t="b">
        <v>1</v>
      </c>
      <c r="AW208" s="9"/>
      <c r="AX208" s="9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 t="b">
        <v>1</v>
      </c>
      <c r="BG208" s="9"/>
      <c r="BH208" s="9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9"/>
      <c r="BR208" s="9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9"/>
      <c r="CB208" s="9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 t="b">
        <v>1</v>
      </c>
      <c r="I209" s="9"/>
      <c r="J209" s="9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9"/>
      <c r="T209" s="9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 t="b">
        <v>1</v>
      </c>
      <c r="AC209" s="9"/>
      <c r="AD209" s="9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 t="b">
        <v>1</v>
      </c>
      <c r="AM209" s="9"/>
      <c r="AN209" s="9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 t="b">
        <v>1</v>
      </c>
      <c r="AW209" s="9"/>
      <c r="AX209" s="9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 t="b">
        <v>1</v>
      </c>
      <c r="BG209" s="9"/>
      <c r="BH209" s="9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9"/>
      <c r="BR209" s="9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9"/>
      <c r="CB209" s="9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 t="b">
        <v>1</v>
      </c>
      <c r="I210" s="9"/>
      <c r="J210" s="9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9"/>
      <c r="T210" s="9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 t="b">
        <v>1</v>
      </c>
      <c r="AC210" s="9"/>
      <c r="AD210" s="9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 t="b">
        <v>1</v>
      </c>
      <c r="AM210" s="9"/>
      <c r="AN210" s="9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 t="b">
        <v>1</v>
      </c>
      <c r="AW210" s="9"/>
      <c r="AX210" s="9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 t="b">
        <v>1</v>
      </c>
      <c r="BG210" s="9"/>
      <c r="BH210" s="9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9"/>
      <c r="BR210" s="9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9"/>
      <c r="CB210" s="9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 t="b">
        <v>1</v>
      </c>
      <c r="I211" s="9"/>
      <c r="J211" s="9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9"/>
      <c r="T211" s="9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 t="b">
        <v>1</v>
      </c>
      <c r="AC211" s="9"/>
      <c r="AD211" s="9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 t="b">
        <v>1</v>
      </c>
      <c r="AM211" s="9"/>
      <c r="AN211" s="9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 t="b">
        <v>1</v>
      </c>
      <c r="AW211" s="9"/>
      <c r="AX211" s="9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 t="b">
        <v>1</v>
      </c>
      <c r="BG211" s="9"/>
      <c r="BH211" s="9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9"/>
      <c r="BR211" s="9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9"/>
      <c r="CB211" s="9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 t="b">
        <v>1</v>
      </c>
      <c r="I212" s="9"/>
      <c r="J212" s="9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9"/>
      <c r="T212" s="9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 t="b">
        <v>1</v>
      </c>
      <c r="AC212" s="9"/>
      <c r="AD212" s="9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 t="b">
        <v>1</v>
      </c>
      <c r="AM212" s="9"/>
      <c r="AN212" s="9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 t="b">
        <v>1</v>
      </c>
      <c r="AW212" s="9"/>
      <c r="AX212" s="9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 t="b">
        <v>1</v>
      </c>
      <c r="BG212" s="9"/>
      <c r="BH212" s="9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9"/>
      <c r="BR212" s="9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9"/>
      <c r="CB212" s="9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 t="b">
        <v>1</v>
      </c>
      <c r="I213" s="9"/>
      <c r="J213" s="9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9"/>
      <c r="T213" s="9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 t="b">
        <v>1</v>
      </c>
      <c r="AC213" s="9"/>
      <c r="AD213" s="9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 t="b">
        <v>1</v>
      </c>
      <c r="AM213" s="9"/>
      <c r="AN213" s="9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 t="b">
        <v>1</v>
      </c>
      <c r="AW213" s="9"/>
      <c r="AX213" s="9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 t="b">
        <v>1</v>
      </c>
      <c r="BG213" s="9"/>
      <c r="BH213" s="9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9"/>
      <c r="BR213" s="9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9"/>
      <c r="CB213" s="9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 t="b">
        <v>1</v>
      </c>
      <c r="I214" s="9"/>
      <c r="J214" s="9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9"/>
      <c r="T214" s="9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 t="b">
        <v>1</v>
      </c>
      <c r="AC214" s="9"/>
      <c r="AD214" s="9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 t="b">
        <v>1</v>
      </c>
      <c r="AM214" s="9"/>
      <c r="AN214" s="9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 t="b">
        <v>1</v>
      </c>
      <c r="AW214" s="9"/>
      <c r="AX214" s="9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 t="b">
        <v>1</v>
      </c>
      <c r="BG214" s="9"/>
      <c r="BH214" s="9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9"/>
      <c r="BR214" s="9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9"/>
      <c r="CB214" s="9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 t="b">
        <v>1</v>
      </c>
      <c r="I215" s="9"/>
      <c r="J215" s="9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9"/>
      <c r="T215" s="9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 t="b">
        <v>1</v>
      </c>
      <c r="AC215" s="9"/>
      <c r="AD215" s="9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 t="b">
        <v>1</v>
      </c>
      <c r="AM215" s="9"/>
      <c r="AN215" s="9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 t="b">
        <v>1</v>
      </c>
      <c r="AW215" s="9"/>
      <c r="AX215" s="9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 t="b">
        <v>1</v>
      </c>
      <c r="BG215" s="9"/>
      <c r="BH215" s="9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9"/>
      <c r="BR215" s="9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9"/>
      <c r="CB215" s="9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 t="b">
        <v>1</v>
      </c>
      <c r="I216" s="9"/>
      <c r="J216" s="9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9"/>
      <c r="T216" s="9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 t="b">
        <v>1</v>
      </c>
      <c r="AC216" s="9"/>
      <c r="AD216" s="9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 t="b">
        <v>1</v>
      </c>
      <c r="AM216" s="9"/>
      <c r="AN216" s="9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 t="b">
        <v>1</v>
      </c>
      <c r="AW216" s="9"/>
      <c r="AX216" s="9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 t="b">
        <v>1</v>
      </c>
      <c r="BG216" s="9"/>
      <c r="BH216" s="9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9"/>
      <c r="BR216" s="9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9"/>
      <c r="CB216" s="9"/>
      <c r="CC216" s="9"/>
      <c r="CD216" s="9"/>
      <c r="CE216" s="9"/>
    </row>
    <row r="217" spans="1:83" x14ac:dyDescent="0.25">
      <c r="A217" s="9">
        <v>1017</v>
      </c>
      <c r="B217" s="9">
        <v>16</v>
      </c>
      <c r="C217" s="9">
        <v>1017</v>
      </c>
      <c r="D217" s="81" t="s">
        <v>28</v>
      </c>
      <c r="E217" s="9" t="s">
        <v>29</v>
      </c>
      <c r="F217" s="9">
        <v>0.17037398600000001</v>
      </c>
      <c r="G217" s="9"/>
      <c r="H217" s="9" t="b">
        <v>1</v>
      </c>
      <c r="I217" s="9">
        <v>0.46456890099999998</v>
      </c>
      <c r="J217" s="9">
        <v>0</v>
      </c>
      <c r="K217" s="9">
        <v>2.0478182000000001E-2</v>
      </c>
      <c r="L217" s="9">
        <v>0.39852805000000002</v>
      </c>
      <c r="M217" s="58">
        <v>0.23568863200000001</v>
      </c>
      <c r="N217" s="81">
        <v>1017</v>
      </c>
      <c r="O217" s="9" t="s">
        <v>29</v>
      </c>
      <c r="P217" s="9" t="s">
        <v>30</v>
      </c>
      <c r="Q217" s="9">
        <v>0.16766149499999999</v>
      </c>
      <c r="R217" s="9" t="b">
        <v>1</v>
      </c>
      <c r="S217" s="9">
        <v>0.39256839199999999</v>
      </c>
      <c r="T217" s="9">
        <v>0</v>
      </c>
      <c r="U217" s="9">
        <v>5.8056230000000002E-3</v>
      </c>
      <c r="V217" s="9">
        <v>0.196343569</v>
      </c>
      <c r="W217" s="58">
        <v>0.112983842</v>
      </c>
      <c r="X217" s="9">
        <v>1017</v>
      </c>
      <c r="Y217" s="9" t="s">
        <v>30</v>
      </c>
      <c r="Z217" s="9" t="s">
        <v>31</v>
      </c>
      <c r="AA217" s="9">
        <v>0.16271542999999999</v>
      </c>
      <c r="AB217" s="9" t="b">
        <v>1</v>
      </c>
      <c r="AC217" s="9">
        <v>0.34019085399999999</v>
      </c>
      <c r="AD217" s="9">
        <v>0</v>
      </c>
      <c r="AE217" s="9">
        <v>6.9987800000000002E-4</v>
      </c>
      <c r="AF217" s="9">
        <v>3.4412287999999999E-2</v>
      </c>
      <c r="AG217" s="9">
        <v>2.3669573999999999E-2</v>
      </c>
      <c r="AH217" s="81">
        <v>1017</v>
      </c>
      <c r="AI217" s="9" t="s">
        <v>31</v>
      </c>
      <c r="AJ217" s="9" t="s">
        <v>32</v>
      </c>
      <c r="AK217" s="9">
        <v>0.17515888900000001</v>
      </c>
      <c r="AL217" s="9" t="b">
        <v>1</v>
      </c>
      <c r="AM217" s="9">
        <v>0.376514562</v>
      </c>
      <c r="AN217" s="9">
        <v>0</v>
      </c>
      <c r="AO217" s="9">
        <v>1.7160210000000001E-3</v>
      </c>
      <c r="AP217" s="9">
        <v>8.4374966999999995E-2</v>
      </c>
      <c r="AQ217" s="58">
        <v>3.7372375999999999E-2</v>
      </c>
      <c r="AR217" s="9">
        <v>1017</v>
      </c>
      <c r="AS217" s="9" t="s">
        <v>32</v>
      </c>
      <c r="AT217" s="9" t="s">
        <v>33</v>
      </c>
      <c r="AU217" s="9"/>
      <c r="AV217" s="9" t="b">
        <v>1</v>
      </c>
      <c r="AW217" s="9"/>
      <c r="AX217" s="9"/>
      <c r="AY217" s="9"/>
      <c r="AZ217" s="9"/>
      <c r="BA217" s="58"/>
      <c r="BB217" s="81">
        <v>1017</v>
      </c>
      <c r="BC217" s="9" t="s">
        <v>33</v>
      </c>
      <c r="BD217" s="9" t="s">
        <v>34</v>
      </c>
      <c r="BE217" s="9"/>
      <c r="BF217" s="9" t="b">
        <v>1</v>
      </c>
      <c r="BG217" s="9"/>
      <c r="BH217" s="9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9"/>
      <c r="BR217" s="9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9"/>
      <c r="CB217" s="9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 t="b">
        <v>1</v>
      </c>
      <c r="I218" s="9"/>
      <c r="J218" s="9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9"/>
      <c r="R218" s="9" t="b">
        <v>1</v>
      </c>
      <c r="S218" s="9"/>
      <c r="T218" s="9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 t="b">
        <v>1</v>
      </c>
      <c r="AC218" s="9"/>
      <c r="AD218" s="9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 t="b">
        <v>1</v>
      </c>
      <c r="AM218" s="9"/>
      <c r="AN218" s="9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 t="b">
        <v>1</v>
      </c>
      <c r="AW218" s="9"/>
      <c r="AX218" s="9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 t="b">
        <v>1</v>
      </c>
      <c r="BG218" s="9"/>
      <c r="BH218" s="9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9"/>
      <c r="BR218" s="9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9"/>
      <c r="CB218" s="9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 t="b">
        <v>1</v>
      </c>
      <c r="I219" s="9"/>
      <c r="J219" s="9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9"/>
      <c r="R219" s="9" t="b">
        <v>1</v>
      </c>
      <c r="S219" s="9"/>
      <c r="T219" s="9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 t="b">
        <v>1</v>
      </c>
      <c r="AC219" s="9"/>
      <c r="AD219" s="9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 t="b">
        <v>1</v>
      </c>
      <c r="AM219" s="9"/>
      <c r="AN219" s="9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 t="b">
        <v>1</v>
      </c>
      <c r="AW219" s="9"/>
      <c r="AX219" s="9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 t="b">
        <v>1</v>
      </c>
      <c r="BG219" s="9"/>
      <c r="BH219" s="9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9"/>
      <c r="BR219" s="9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9"/>
      <c r="CB219" s="9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 t="b">
        <v>1</v>
      </c>
      <c r="I220" s="9"/>
      <c r="J220" s="9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9"/>
      <c r="R220" s="9" t="b">
        <v>1</v>
      </c>
      <c r="S220" s="9"/>
      <c r="T220" s="9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 t="b">
        <v>1</v>
      </c>
      <c r="AC220" s="9"/>
      <c r="AD220" s="9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 t="b">
        <v>1</v>
      </c>
      <c r="AM220" s="9"/>
      <c r="AN220" s="9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 t="b">
        <v>1</v>
      </c>
      <c r="AW220" s="9"/>
      <c r="AX220" s="9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 t="b">
        <v>1</v>
      </c>
      <c r="BG220" s="9"/>
      <c r="BH220" s="9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9"/>
      <c r="BR220" s="9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9"/>
      <c r="CB220" s="9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 t="b">
        <v>1</v>
      </c>
      <c r="I221" s="9"/>
      <c r="J221" s="9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9"/>
      <c r="R221" s="9" t="b">
        <v>1</v>
      </c>
      <c r="S221" s="9"/>
      <c r="T221" s="9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 t="b">
        <v>1</v>
      </c>
      <c r="AC221" s="9"/>
      <c r="AD221" s="9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 t="b">
        <v>1</v>
      </c>
      <c r="AM221" s="9"/>
      <c r="AN221" s="9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 t="b">
        <v>1</v>
      </c>
      <c r="AW221" s="9"/>
      <c r="AX221" s="9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 t="b">
        <v>1</v>
      </c>
      <c r="BG221" s="9"/>
      <c r="BH221" s="9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9"/>
      <c r="BR221" s="9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9"/>
      <c r="CB221" s="9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 t="b">
        <v>1</v>
      </c>
      <c r="I222" s="9"/>
      <c r="J222" s="9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9"/>
      <c r="R222" s="9" t="b">
        <v>1</v>
      </c>
      <c r="S222" s="9"/>
      <c r="T222" s="9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 t="b">
        <v>1</v>
      </c>
      <c r="AC222" s="9"/>
      <c r="AD222" s="9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 t="b">
        <v>1</v>
      </c>
      <c r="AM222" s="9"/>
      <c r="AN222" s="9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 t="b">
        <v>1</v>
      </c>
      <c r="AW222" s="9"/>
      <c r="AX222" s="9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 t="b">
        <v>1</v>
      </c>
      <c r="BG222" s="9"/>
      <c r="BH222" s="9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9"/>
      <c r="BR222" s="9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9"/>
      <c r="CB222" s="9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 t="b">
        <v>1</v>
      </c>
      <c r="I223" s="9"/>
      <c r="J223" s="9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9"/>
      <c r="R223" s="9" t="b">
        <v>1</v>
      </c>
      <c r="S223" s="9"/>
      <c r="T223" s="9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 t="b">
        <v>1</v>
      </c>
      <c r="AC223" s="9"/>
      <c r="AD223" s="9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 t="b">
        <v>1</v>
      </c>
      <c r="AM223" s="9"/>
      <c r="AN223" s="9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 t="b">
        <v>1</v>
      </c>
      <c r="AW223" s="9"/>
      <c r="AX223" s="9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 t="b">
        <v>1</v>
      </c>
      <c r="BG223" s="9"/>
      <c r="BH223" s="9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9"/>
      <c r="BR223" s="9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9"/>
      <c r="CB223" s="9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 t="b">
        <v>1</v>
      </c>
      <c r="I224" s="9"/>
      <c r="J224" s="9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9"/>
      <c r="R224" s="9" t="b">
        <v>1</v>
      </c>
      <c r="S224" s="9"/>
      <c r="T224" s="9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 t="b">
        <v>1</v>
      </c>
      <c r="AC224" s="9"/>
      <c r="AD224" s="9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 t="b">
        <v>1</v>
      </c>
      <c r="AM224" s="9"/>
      <c r="AN224" s="9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 t="b">
        <v>1</v>
      </c>
      <c r="AW224" s="9"/>
      <c r="AX224" s="9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 t="b">
        <v>1</v>
      </c>
      <c r="BG224" s="9"/>
      <c r="BH224" s="9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9"/>
      <c r="BR224" s="9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9"/>
      <c r="CB224" s="9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 t="b">
        <v>1</v>
      </c>
      <c r="I225" s="9"/>
      <c r="J225" s="9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9"/>
      <c r="R225" s="9" t="b">
        <v>1</v>
      </c>
      <c r="S225" s="9"/>
      <c r="T225" s="9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 t="b">
        <v>1</v>
      </c>
      <c r="AC225" s="9"/>
      <c r="AD225" s="9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 t="b">
        <v>1</v>
      </c>
      <c r="AM225" s="9"/>
      <c r="AN225" s="9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 t="b">
        <v>1</v>
      </c>
      <c r="AW225" s="9"/>
      <c r="AX225" s="9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 t="b">
        <v>1</v>
      </c>
      <c r="BG225" s="9"/>
      <c r="BH225" s="9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9"/>
      <c r="BR225" s="9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9"/>
      <c r="CB225" s="9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 t="b">
        <v>1</v>
      </c>
      <c r="I226" s="9"/>
      <c r="J226" s="9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9"/>
      <c r="R226" s="9" t="b">
        <v>1</v>
      </c>
      <c r="S226" s="9"/>
      <c r="T226" s="9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 t="b">
        <v>1</v>
      </c>
      <c r="AC226" s="9"/>
      <c r="AD226" s="9"/>
      <c r="AE226" s="9"/>
      <c r="AF226" s="9"/>
      <c r="AG226" s="9"/>
      <c r="AH226" s="81">
        <v>1026</v>
      </c>
      <c r="AI226" s="9" t="s">
        <v>31</v>
      </c>
      <c r="AJ226" s="9" t="s">
        <v>32</v>
      </c>
      <c r="AK226" s="9">
        <v>3.5745708000000001E-2</v>
      </c>
      <c r="AL226" s="9" t="b">
        <v>0</v>
      </c>
      <c r="AM226" s="9">
        <v>5.4009314000000003E-2</v>
      </c>
      <c r="AN226" s="9">
        <v>1.7482101999999999E-2</v>
      </c>
      <c r="AO226" s="9">
        <v>0</v>
      </c>
      <c r="AP226" s="9">
        <v>0</v>
      </c>
      <c r="AQ226" s="58">
        <v>0</v>
      </c>
      <c r="AR226" s="9">
        <v>1026</v>
      </c>
      <c r="AS226" s="9" t="s">
        <v>32</v>
      </c>
      <c r="AT226" s="9" t="s">
        <v>33</v>
      </c>
      <c r="AU226" s="9">
        <v>2.6130662999999998E-2</v>
      </c>
      <c r="AV226" s="9" t="b">
        <v>1</v>
      </c>
      <c r="AW226" s="9">
        <v>6.9716371999999999E-2</v>
      </c>
      <c r="AX226" s="9">
        <v>0</v>
      </c>
      <c r="AY226" s="9">
        <v>3.63631E-4</v>
      </c>
      <c r="AZ226" s="9">
        <v>0.64260849200000003</v>
      </c>
      <c r="BA226" s="58">
        <v>0.12720668600000001</v>
      </c>
      <c r="BB226" s="81">
        <v>1026</v>
      </c>
      <c r="BC226" s="9" t="s">
        <v>33</v>
      </c>
      <c r="BD226" s="9" t="s">
        <v>34</v>
      </c>
      <c r="BE226" s="9"/>
      <c r="BF226" s="9" t="b">
        <v>1</v>
      </c>
      <c r="BG226" s="9"/>
      <c r="BH226" s="9"/>
      <c r="BI226" s="9"/>
      <c r="BJ226" s="9"/>
      <c r="BK226" s="58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9"/>
      <c r="BR226" s="9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9"/>
      <c r="CB226" s="9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 t="b">
        <v>1</v>
      </c>
      <c r="I227" s="9"/>
      <c r="J227" s="9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9"/>
      <c r="R227" s="9" t="b">
        <v>1</v>
      </c>
      <c r="S227" s="9"/>
      <c r="T227" s="9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 t="b">
        <v>1</v>
      </c>
      <c r="AC227" s="9"/>
      <c r="AD227" s="9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 t="b">
        <v>1</v>
      </c>
      <c r="AM227" s="9"/>
      <c r="AN227" s="9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 t="b">
        <v>1</v>
      </c>
      <c r="AW227" s="9"/>
      <c r="AX227" s="9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 t="b">
        <v>1</v>
      </c>
      <c r="BG227" s="9"/>
      <c r="BH227" s="9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9"/>
      <c r="BR227" s="9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9"/>
      <c r="CB227" s="9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 t="b">
        <v>1</v>
      </c>
      <c r="I228" s="9"/>
      <c r="J228" s="9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9"/>
      <c r="R228" s="9" t="b">
        <v>1</v>
      </c>
      <c r="S228" s="9"/>
      <c r="T228" s="9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 t="b">
        <v>1</v>
      </c>
      <c r="AC228" s="9"/>
      <c r="AD228" s="9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 t="b">
        <v>1</v>
      </c>
      <c r="AM228" s="9"/>
      <c r="AN228" s="9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 t="b">
        <v>1</v>
      </c>
      <c r="AW228" s="9"/>
      <c r="AX228" s="9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 t="b">
        <v>1</v>
      </c>
      <c r="BG228" s="9"/>
      <c r="BH228" s="9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9"/>
      <c r="BR228" s="9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9"/>
      <c r="CB228" s="9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 t="b">
        <v>1</v>
      </c>
      <c r="I229" s="9"/>
      <c r="J229" s="9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9"/>
      <c r="R229" s="9" t="b">
        <v>1</v>
      </c>
      <c r="S229" s="9"/>
      <c r="T229" s="9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 t="b">
        <v>1</v>
      </c>
      <c r="AC229" s="9"/>
      <c r="AD229" s="9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 t="b">
        <v>1</v>
      </c>
      <c r="AM229" s="9"/>
      <c r="AN229" s="9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 t="b">
        <v>1</v>
      </c>
      <c r="AW229" s="9"/>
      <c r="AX229" s="9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 t="b">
        <v>1</v>
      </c>
      <c r="BG229" s="9"/>
      <c r="BH229" s="9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9"/>
      <c r="BR229" s="9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9"/>
      <c r="CB229" s="9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 t="b">
        <v>1</v>
      </c>
      <c r="I230" s="9"/>
      <c r="J230" s="9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9"/>
      <c r="R230" s="9" t="b">
        <v>1</v>
      </c>
      <c r="S230" s="9"/>
      <c r="T230" s="9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 t="b">
        <v>1</v>
      </c>
      <c r="AC230" s="9"/>
      <c r="AD230" s="9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 t="b">
        <v>1</v>
      </c>
      <c r="AM230" s="9"/>
      <c r="AN230" s="9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 t="b">
        <v>1</v>
      </c>
      <c r="AW230" s="9"/>
      <c r="AX230" s="9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 t="b">
        <v>1</v>
      </c>
      <c r="BG230" s="9"/>
      <c r="BH230" s="9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9"/>
      <c r="BR230" s="9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9"/>
      <c r="CB230" s="9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 t="b">
        <v>1</v>
      </c>
      <c r="I231" s="9"/>
      <c r="J231" s="9"/>
      <c r="K231" s="9"/>
      <c r="L231" s="9"/>
      <c r="M231" s="58"/>
      <c r="N231" s="81">
        <v>1031</v>
      </c>
      <c r="O231" s="9" t="s">
        <v>29</v>
      </c>
      <c r="P231" s="9" t="s">
        <v>30</v>
      </c>
      <c r="Q231" s="9">
        <v>0.25992079699999998</v>
      </c>
      <c r="R231" s="9" t="b">
        <v>0</v>
      </c>
      <c r="S231" s="9">
        <v>0.39695048900000002</v>
      </c>
      <c r="T231" s="9">
        <v>0.122891106</v>
      </c>
      <c r="U231" s="9">
        <v>0</v>
      </c>
      <c r="V231" s="9">
        <v>0</v>
      </c>
      <c r="W231" s="58">
        <v>0</v>
      </c>
      <c r="X231" s="9">
        <v>1031</v>
      </c>
      <c r="Y231" s="9" t="s">
        <v>30</v>
      </c>
      <c r="Z231" s="9" t="s">
        <v>31</v>
      </c>
      <c r="AA231" s="9"/>
      <c r="AB231" s="9" t="b">
        <v>1</v>
      </c>
      <c r="AC231" s="9"/>
      <c r="AD231" s="9"/>
      <c r="AE231" s="9"/>
      <c r="AF231" s="9"/>
      <c r="AG231" s="9"/>
      <c r="AH231" s="81">
        <v>1031</v>
      </c>
      <c r="AI231" s="9" t="s">
        <v>31</v>
      </c>
      <c r="AJ231" s="9" t="s">
        <v>32</v>
      </c>
      <c r="AK231" s="9"/>
      <c r="AL231" s="9" t="b">
        <v>1</v>
      </c>
      <c r="AM231" s="9"/>
      <c r="AN231" s="9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 t="b">
        <v>1</v>
      </c>
      <c r="AW231" s="9"/>
      <c r="AX231" s="9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 t="b">
        <v>1</v>
      </c>
      <c r="BG231" s="9"/>
      <c r="BH231" s="9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9"/>
      <c r="BR231" s="9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9">
        <v>0.29568354699999999</v>
      </c>
      <c r="CB231" s="9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 t="b">
        <v>1</v>
      </c>
      <c r="I232" s="9"/>
      <c r="J232" s="9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9"/>
      <c r="R232" s="9" t="b">
        <v>1</v>
      </c>
      <c r="S232" s="9"/>
      <c r="T232" s="9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 t="b">
        <v>1</v>
      </c>
      <c r="AC232" s="9"/>
      <c r="AD232" s="9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 t="b">
        <v>1</v>
      </c>
      <c r="AM232" s="9"/>
      <c r="AN232" s="9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 t="b">
        <v>1</v>
      </c>
      <c r="AW232" s="9"/>
      <c r="AX232" s="9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 t="b">
        <v>1</v>
      </c>
      <c r="BG232" s="9"/>
      <c r="BH232" s="9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9"/>
      <c r="BR232" s="9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9"/>
      <c r="CB232" s="9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 t="b">
        <v>1</v>
      </c>
      <c r="I233" s="9"/>
      <c r="J233" s="9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9"/>
      <c r="R233" s="9" t="b">
        <v>1</v>
      </c>
      <c r="S233" s="9"/>
      <c r="T233" s="9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 t="b">
        <v>1</v>
      </c>
      <c r="AC233" s="9"/>
      <c r="AD233" s="9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 t="b">
        <v>1</v>
      </c>
      <c r="AM233" s="9"/>
      <c r="AN233" s="9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 t="b">
        <v>1</v>
      </c>
      <c r="AW233" s="9"/>
      <c r="AX233" s="9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 t="b">
        <v>1</v>
      </c>
      <c r="BG233" s="9"/>
      <c r="BH233" s="9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9"/>
      <c r="BR233" s="9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9"/>
      <c r="CB233" s="9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 t="b">
        <v>1</v>
      </c>
      <c r="I234" s="9"/>
      <c r="J234" s="9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9"/>
      <c r="R234" s="9" t="b">
        <v>1</v>
      </c>
      <c r="S234" s="9"/>
      <c r="T234" s="9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 t="b">
        <v>1</v>
      </c>
      <c r="AC234" s="9"/>
      <c r="AD234" s="9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 t="b">
        <v>1</v>
      </c>
      <c r="AM234" s="9"/>
      <c r="AN234" s="9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 t="b">
        <v>1</v>
      </c>
      <c r="AW234" s="9"/>
      <c r="AX234" s="9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 t="b">
        <v>1</v>
      </c>
      <c r="BG234" s="9"/>
      <c r="BH234" s="9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9"/>
      <c r="BR234" s="9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9"/>
      <c r="CB234" s="9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 t="b">
        <v>1</v>
      </c>
      <c r="I235" s="9"/>
      <c r="J235" s="9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9"/>
      <c r="R235" s="9" t="b">
        <v>1</v>
      </c>
      <c r="S235" s="9"/>
      <c r="T235" s="9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 t="b">
        <v>1</v>
      </c>
      <c r="AC235" s="9"/>
      <c r="AD235" s="9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 t="b">
        <v>1</v>
      </c>
      <c r="AM235" s="9"/>
      <c r="AN235" s="9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 t="b">
        <v>1</v>
      </c>
      <c r="AW235" s="9"/>
      <c r="AX235" s="9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 t="b">
        <v>1</v>
      </c>
      <c r="BG235" s="9"/>
      <c r="BH235" s="9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9"/>
      <c r="BR235" s="9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9"/>
      <c r="CB235" s="9"/>
      <c r="CC235" s="9"/>
      <c r="CD235" s="9"/>
      <c r="CE235" s="9"/>
    </row>
    <row r="236" spans="1:83" x14ac:dyDescent="0.25">
      <c r="A236" s="9">
        <v>1036</v>
      </c>
      <c r="B236" s="9">
        <v>16</v>
      </c>
      <c r="C236" s="9">
        <v>1036</v>
      </c>
      <c r="D236" s="81" t="s">
        <v>28</v>
      </c>
      <c r="E236" s="9" t="s">
        <v>29</v>
      </c>
      <c r="F236" s="9">
        <v>0.353941954</v>
      </c>
      <c r="G236" s="9"/>
      <c r="H236" s="9" t="b">
        <v>0</v>
      </c>
      <c r="I236" s="9">
        <v>0.60171376399999998</v>
      </c>
      <c r="J236" s="9">
        <v>0.10617014399999999</v>
      </c>
      <c r="K236" s="9">
        <v>0</v>
      </c>
      <c r="L236" s="9">
        <v>0</v>
      </c>
      <c r="M236" s="58">
        <v>0</v>
      </c>
      <c r="N236" s="81">
        <v>1036</v>
      </c>
      <c r="O236" s="9" t="s">
        <v>29</v>
      </c>
      <c r="P236" s="9" t="s">
        <v>30</v>
      </c>
      <c r="Q236" s="9">
        <v>0.15530212299999999</v>
      </c>
      <c r="R236" s="9" t="b">
        <v>1</v>
      </c>
      <c r="S236" s="9">
        <v>0.45412572699999998</v>
      </c>
      <c r="T236" s="9">
        <v>0</v>
      </c>
      <c r="U236" s="9">
        <v>2.583129E-2</v>
      </c>
      <c r="V236" s="9">
        <v>0.410317459</v>
      </c>
      <c r="W236" s="58">
        <v>0.33245693599999998</v>
      </c>
      <c r="X236" s="9">
        <v>1036</v>
      </c>
      <c r="Y236" s="9" t="s">
        <v>30</v>
      </c>
      <c r="Z236" s="9" t="s">
        <v>31</v>
      </c>
      <c r="AA236" s="9">
        <v>0.101578686</v>
      </c>
      <c r="AB236" s="9" t="b">
        <v>0</v>
      </c>
      <c r="AC236" s="9">
        <v>0.64322788099999995</v>
      </c>
      <c r="AD236" s="9">
        <v>0</v>
      </c>
      <c r="AE236" s="9">
        <v>0</v>
      </c>
      <c r="AF236" s="9">
        <v>0</v>
      </c>
      <c r="AG236" s="9">
        <v>0</v>
      </c>
      <c r="AH236" s="81">
        <v>1036</v>
      </c>
      <c r="AI236" s="9" t="s">
        <v>31</v>
      </c>
      <c r="AJ236" s="9" t="s">
        <v>32</v>
      </c>
      <c r="AK236" s="9">
        <v>0.364970089</v>
      </c>
      <c r="AL236" s="9" t="b">
        <v>1</v>
      </c>
      <c r="AM236" s="9">
        <v>0.82280794899999998</v>
      </c>
      <c r="AN236" s="9">
        <v>0</v>
      </c>
      <c r="AO236" s="9">
        <v>1.0972798000000001E-2</v>
      </c>
      <c r="AP236" s="9">
        <v>0.64736273700000002</v>
      </c>
      <c r="AQ236" s="58">
        <v>2.3639327000000002E-2</v>
      </c>
      <c r="AR236" s="9">
        <v>1036</v>
      </c>
      <c r="AS236" s="9" t="s">
        <v>32</v>
      </c>
      <c r="AT236" s="9" t="s">
        <v>33</v>
      </c>
      <c r="AU236" s="9"/>
      <c r="AV236" s="9" t="b">
        <v>1</v>
      </c>
      <c r="AW236" s="9"/>
      <c r="AX236" s="9"/>
      <c r="AY236" s="9"/>
      <c r="AZ236" s="9"/>
      <c r="BA236" s="58"/>
      <c r="BB236" s="81">
        <v>1036</v>
      </c>
      <c r="BC236" s="9" t="s">
        <v>33</v>
      </c>
      <c r="BD236" s="9" t="s">
        <v>34</v>
      </c>
      <c r="BE236" s="9"/>
      <c r="BF236" s="9" t="b">
        <v>1</v>
      </c>
      <c r="BG236" s="9"/>
      <c r="BH236" s="9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9"/>
      <c r="BR236" s="9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9"/>
      <c r="CB236" s="9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 t="b">
        <v>1</v>
      </c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9"/>
      <c r="R237" s="9" t="b">
        <v>1</v>
      </c>
      <c r="S237" s="9"/>
      <c r="T237" s="9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 t="b">
        <v>1</v>
      </c>
      <c r="AC237" s="9"/>
      <c r="AD237" s="9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 t="b">
        <v>1</v>
      </c>
      <c r="AM237" s="9"/>
      <c r="AN237" s="9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 t="b">
        <v>1</v>
      </c>
      <c r="AW237" s="9"/>
      <c r="AX237" s="9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 t="b">
        <v>1</v>
      </c>
      <c r="BG237" s="9"/>
      <c r="BH237" s="9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9"/>
      <c r="BR237" s="9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9"/>
      <c r="CB237" s="9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 t="b">
        <v>1</v>
      </c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31"/>
      <c r="T238" s="31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 t="b">
        <v>1</v>
      </c>
      <c r="AC238" s="31"/>
      <c r="AD238" s="31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 t="b">
        <v>1</v>
      </c>
      <c r="AM238" s="31"/>
      <c r="AN238" s="31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 t="b">
        <v>1</v>
      </c>
      <c r="AW238" s="31"/>
      <c r="AX238" s="31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 t="b">
        <v>1</v>
      </c>
      <c r="BG238" s="31"/>
      <c r="BH238" s="31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31"/>
      <c r="BR238" s="31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31"/>
      <c r="CB238" s="31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9"/>
      <c r="T239" s="9"/>
      <c r="U239" s="9"/>
      <c r="V239" s="9"/>
      <c r="W239" s="58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81"/>
      <c r="AI239" s="9"/>
      <c r="AJ239" s="9"/>
      <c r="AK239" s="9"/>
      <c r="AL239" s="9"/>
      <c r="AM239" s="9"/>
      <c r="AN239" s="9"/>
      <c r="AO239" s="9"/>
      <c r="AP239" s="9"/>
      <c r="AQ239" s="58"/>
      <c r="AR239" s="9"/>
      <c r="AS239" s="9"/>
      <c r="AT239" s="9"/>
      <c r="AU239" s="9"/>
      <c r="AV239" s="9"/>
      <c r="AW239" s="9"/>
      <c r="AX239" s="9"/>
      <c r="AY239" s="9"/>
      <c r="AZ239" s="9"/>
      <c r="BA239" s="58"/>
      <c r="BB239" s="81"/>
      <c r="BC239" s="9"/>
      <c r="BD239" s="9"/>
      <c r="BE239" s="9"/>
      <c r="BF239" s="9"/>
      <c r="BG239" s="9"/>
      <c r="BH239" s="9"/>
      <c r="BI239" s="9"/>
      <c r="BJ239" s="9"/>
      <c r="BK239" s="58"/>
      <c r="BL239" s="9">
        <v>165</v>
      </c>
      <c r="BM239" s="9" t="s">
        <v>34</v>
      </c>
      <c r="BN239" s="9" t="s">
        <v>35</v>
      </c>
      <c r="BO239" s="9">
        <v>1.36221830909967</v>
      </c>
      <c r="BQ239" s="9">
        <v>1.88865521937626</v>
      </c>
      <c r="BR239" s="9">
        <v>0.835781398823082</v>
      </c>
      <c r="BS239" s="9"/>
      <c r="BT239" s="9"/>
      <c r="BU239" s="58"/>
      <c r="BV239" s="9">
        <v>165</v>
      </c>
      <c r="BW239" s="9" t="s">
        <v>35</v>
      </c>
      <c r="BX239" s="9" t="s">
        <v>36</v>
      </c>
      <c r="BY239" s="9">
        <v>0.58661639198254301</v>
      </c>
      <c r="CA239" s="9">
        <v>0.68771762436800099</v>
      </c>
      <c r="CB239" s="9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9"/>
      <c r="T240" s="9"/>
      <c r="U240" s="9"/>
      <c r="V240" s="9"/>
      <c r="W240" s="58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81"/>
      <c r="AI240" s="9"/>
      <c r="AJ240" s="9"/>
      <c r="AK240" s="9"/>
      <c r="AL240" s="9"/>
      <c r="AM240" s="9"/>
      <c r="AN240" s="9"/>
      <c r="AO240" s="9"/>
      <c r="AP240" s="9"/>
      <c r="AQ240" s="58"/>
      <c r="AR240" s="9"/>
      <c r="AS240" s="9"/>
      <c r="AT240" s="9"/>
      <c r="AU240" s="9"/>
      <c r="AV240" s="9"/>
      <c r="AW240" s="9"/>
      <c r="AX240" s="9"/>
      <c r="AY240" s="9"/>
      <c r="AZ240" s="9"/>
      <c r="BA240" s="58"/>
      <c r="BB240" s="81"/>
      <c r="BC240" s="9"/>
      <c r="BD240" s="9"/>
      <c r="BE240" s="9"/>
      <c r="BF240" s="9"/>
      <c r="BG240" s="9"/>
      <c r="BH240" s="9"/>
      <c r="BI240" s="9"/>
      <c r="BJ240" s="9"/>
      <c r="BK240" s="58"/>
      <c r="BL240" s="9">
        <v>166</v>
      </c>
      <c r="BM240" s="9" t="s">
        <v>34</v>
      </c>
      <c r="BN240" s="9" t="s">
        <v>35</v>
      </c>
      <c r="BO240" s="9">
        <v>2.1296526232565501E-2</v>
      </c>
      <c r="BQ240" s="9">
        <v>0.125786435498636</v>
      </c>
      <c r="BR240" s="9">
        <v>0</v>
      </c>
      <c r="BS240" s="9"/>
      <c r="BT240" s="9"/>
      <c r="BU240" s="58"/>
      <c r="BV240" s="9">
        <v>166</v>
      </c>
      <c r="BW240" s="9" t="s">
        <v>35</v>
      </c>
      <c r="BX240" s="9" t="s">
        <v>36</v>
      </c>
      <c r="BY240" s="9">
        <v>7.3118803746397301E-2</v>
      </c>
      <c r="CA240" s="9">
        <v>0.17431324887581001</v>
      </c>
      <c r="CB240" s="9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85">
        <f>AVERAGE(S204:S240)</f>
        <v>0.41454820266666664</v>
      </c>
      <c r="T241" s="85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85">
        <f>AVERAGE(AC204:AC240)</f>
        <v>0.34891524066666663</v>
      </c>
      <c r="AD241" s="85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85">
        <f>AVERAGE(AM204:AM240)</f>
        <v>0.417777275</v>
      </c>
      <c r="AN241" s="85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85">
        <f>AVERAGE(AW204:AW240)</f>
        <v>6.9716371999999999E-2</v>
      </c>
      <c r="AX241" s="85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85" t="e">
        <f>AVERAGE(BG204:BG240)</f>
        <v>#DIV/0!</v>
      </c>
      <c r="BH241" s="85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85">
        <f>AVERAGE(BQ204:BQ240)</f>
        <v>1.0072208274374481</v>
      </c>
      <c r="BR241" s="85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85">
        <f>AVERAGE(CA204:CA240)</f>
        <v>0.38590480674793698</v>
      </c>
      <c r="CB241" s="85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32"/>
      <c r="T242" s="32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 t="b">
        <v>1</v>
      </c>
      <c r="AC242" s="32"/>
      <c r="AD242" s="32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 t="b">
        <v>1</v>
      </c>
      <c r="AM242" s="32"/>
      <c r="AN242" s="32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 t="b">
        <v>1</v>
      </c>
      <c r="AW242" s="32"/>
      <c r="AX242" s="32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 t="b">
        <v>1</v>
      </c>
      <c r="BG242" s="32"/>
      <c r="BH242" s="32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32"/>
      <c r="BR242" s="32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32"/>
      <c r="CB242" s="32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32"/>
      <c r="T243" s="32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 t="b">
        <v>1</v>
      </c>
      <c r="AC243" s="32"/>
      <c r="AD243" s="32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 t="b">
        <v>1</v>
      </c>
      <c r="AM243" s="32"/>
      <c r="AN243" s="32">
        <v>0</v>
      </c>
      <c r="AO243" s="32"/>
      <c r="AP243" s="32"/>
      <c r="AQ243" s="60"/>
      <c r="AR243" s="32">
        <v>1002</v>
      </c>
      <c r="AS243" s="32" t="s">
        <v>32</v>
      </c>
      <c r="AT243" s="32" t="s">
        <v>33</v>
      </c>
      <c r="AU243" s="32">
        <v>0.10685481400000001</v>
      </c>
      <c r="AV243" s="32" t="b">
        <v>0</v>
      </c>
      <c r="AW243" s="32">
        <v>0.15696739300000001</v>
      </c>
      <c r="AX243" s="32">
        <v>5.6742234000000003E-2</v>
      </c>
      <c r="AY243" s="32">
        <v>0</v>
      </c>
      <c r="AZ243" s="32">
        <v>0</v>
      </c>
      <c r="BA243" s="60">
        <v>0</v>
      </c>
      <c r="BB243" s="83">
        <v>1002</v>
      </c>
      <c r="BC243" s="32" t="s">
        <v>33</v>
      </c>
      <c r="BD243" s="32" t="s">
        <v>34</v>
      </c>
      <c r="BE243" s="32"/>
      <c r="BF243" s="32" t="b">
        <v>1</v>
      </c>
      <c r="BG243" s="32"/>
      <c r="BH243" s="32">
        <v>0</v>
      </c>
      <c r="BI243" s="32"/>
      <c r="BJ243" s="32"/>
      <c r="BK243" s="60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32"/>
      <c r="BR243" s="32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32"/>
      <c r="CB243" s="32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32"/>
      <c r="T244" s="32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 t="b">
        <v>1</v>
      </c>
      <c r="AC244" s="32"/>
      <c r="AD244" s="32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 t="b">
        <v>1</v>
      </c>
      <c r="AM244" s="33"/>
      <c r="AN244" s="33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 t="b">
        <v>1</v>
      </c>
      <c r="AW244" s="32"/>
      <c r="AX244" s="32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 t="b">
        <v>1</v>
      </c>
      <c r="BG244" s="32"/>
      <c r="BH244" s="32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32"/>
      <c r="BR244" s="32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32"/>
      <c r="CB244" s="32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" t="e">
        <f>AVERAGE(S242:S244)</f>
        <v>#DIV/0!</v>
      </c>
      <c r="T245" s="2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" t="e">
        <f>AVERAGE(AC242:AC244)</f>
        <v>#DIV/0!</v>
      </c>
      <c r="AD245" s="2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" t="e">
        <f>AVERAGE(AM242:AM244)</f>
        <v>#DIV/0!</v>
      </c>
      <c r="AN245" s="2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">
        <f>AVERAGE(AW242:AW244)</f>
        <v>0.15696739300000001</v>
      </c>
      <c r="AX245" s="2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"/>
      <c r="BH245" s="2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"/>
      <c r="BR245" s="2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"/>
      <c r="CB245" s="2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2025-11-26T22:08:08Z</dcterms:modified>
</cp:coreProperties>
</file>